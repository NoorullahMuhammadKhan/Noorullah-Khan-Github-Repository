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1.xml" ContentType="application/vnd.ms-office.activeX+xml"/>
  <Override PartName="/xl/slicers/slicer1.xml" ContentType="application/vnd.ms-excel.slicer+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activeX/activeX2.xml" ContentType="application/vnd.ms-office.activeX+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Noor\Documents\"/>
    </mc:Choice>
  </mc:AlternateContent>
  <xr:revisionPtr revIDLastSave="0" documentId="13_ncr:1_{0859FE6E-09D3-4FB9-AF9F-17884F394F8B}" xr6:coauthVersionLast="47" xr6:coauthVersionMax="47" xr10:uidLastSave="{00000000-0000-0000-0000-000000000000}"/>
  <bookViews>
    <workbookView xWindow="-108" yWindow="-108" windowWidth="41496" windowHeight="17496" activeTab="2" xr2:uid="{C7D2437E-6B47-40D4-AF49-88AF1CF3F357}"/>
  </bookViews>
  <sheets>
    <sheet name="Import 1" sheetId="13" r:id="rId1"/>
    <sheet name="Import Data" sheetId="1" r:id="rId2"/>
    <sheet name="Stock Summary" sheetId="8" r:id="rId3"/>
    <sheet name="Sale1" sheetId="12" r:id="rId4"/>
    <sheet name="Sale" sheetId="15" r:id="rId5"/>
    <sheet name="Stock" sheetId="10" r:id="rId6"/>
  </sheets>
  <definedNames>
    <definedName name="Slicer_MODEL">#N/A</definedName>
    <definedName name="Slicer_PROCESSOR">#N/A</definedName>
  </definedNames>
  <calcPr calcId="191029"/>
  <pivotCaches>
    <pivotCache cacheId="8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2" i="1" l="1"/>
  <c r="Y3" i="1"/>
  <c r="Y4" i="1"/>
  <c r="Y5" i="1"/>
  <c r="Y6" i="1"/>
  <c r="Y7" i="1"/>
  <c r="Y8" i="1"/>
  <c r="Y9" i="1"/>
  <c r="Y10" i="1"/>
  <c r="Y11" i="1"/>
  <c r="Y12" i="1"/>
  <c r="Y13" i="1"/>
  <c r="Y14" i="1"/>
  <c r="T13" i="1"/>
  <c r="T14" i="1"/>
  <c r="U13" i="1"/>
  <c r="U14" i="1"/>
  <c r="X13" i="1"/>
  <c r="X14" i="1"/>
  <c r="AA13" i="1"/>
  <c r="AA14" i="1"/>
  <c r="T12" i="1"/>
  <c r="AA12" i="1" s="1"/>
  <c r="U12" i="1"/>
  <c r="X12" i="1"/>
  <c r="T11" i="1"/>
  <c r="AA11" i="1" s="1"/>
  <c r="U11" i="1"/>
  <c r="X11" i="1"/>
  <c r="T10" i="1"/>
  <c r="AA10" i="1" s="1"/>
  <c r="U10" i="1"/>
  <c r="X10" i="1"/>
  <c r="T9" i="1"/>
  <c r="AA9" i="1" s="1"/>
  <c r="U9" i="1"/>
  <c r="X9" i="1"/>
  <c r="U2" i="1"/>
  <c r="U3" i="1"/>
  <c r="U4" i="1"/>
  <c r="U5" i="1"/>
  <c r="U6" i="1"/>
  <c r="U7" i="1"/>
  <c r="U8" i="1"/>
  <c r="T2" i="1"/>
  <c r="AA2" i="1" s="1"/>
  <c r="T3" i="1"/>
  <c r="AA3" i="1" s="1"/>
  <c r="T4" i="1"/>
  <c r="AA4" i="1" s="1"/>
  <c r="T5" i="1"/>
  <c r="AA5" i="1" s="1"/>
  <c r="T6" i="1"/>
  <c r="AA6" i="1" s="1"/>
  <c r="T7" i="1"/>
  <c r="AA7" i="1" s="1"/>
  <c r="T8" i="1"/>
  <c r="AA8" i="1" s="1"/>
  <c r="X7" i="1"/>
  <c r="X8" i="1"/>
  <c r="X6" i="1"/>
  <c r="X5" i="1"/>
  <c r="X4" i="1"/>
  <c r="X3" i="1"/>
  <c r="X2" i="1"/>
  <c r="A2" i="15"/>
  <c r="E2" i="15"/>
  <c r="E3" i="15"/>
  <c r="E4" i="15"/>
  <c r="A5" i="15"/>
  <c r="E5" i="15"/>
  <c r="B7" i="12"/>
</calcChain>
</file>

<file path=xl/sharedStrings.xml><?xml version="1.0" encoding="utf-8"?>
<sst xmlns="http://schemas.openxmlformats.org/spreadsheetml/2006/main" count="179" uniqueCount="71">
  <si>
    <t>ID</t>
  </si>
  <si>
    <t>DATE</t>
  </si>
  <si>
    <t>ASSET TYPE</t>
  </si>
  <si>
    <t>ASSET TAG</t>
  </si>
  <si>
    <t>S/NO</t>
  </si>
  <si>
    <t>MAKE</t>
  </si>
  <si>
    <t>MODEL</t>
  </si>
  <si>
    <t>PROCESSOR</t>
  </si>
  <si>
    <t>SPEED</t>
  </si>
  <si>
    <t>RAM</t>
  </si>
  <si>
    <t>HDD</t>
  </si>
  <si>
    <t>HDD Serials</t>
  </si>
  <si>
    <t>CASE TYPE</t>
  </si>
  <si>
    <t>SCREEN Size</t>
  </si>
  <si>
    <t xml:space="preserve">AC ADAPTER </t>
  </si>
  <si>
    <t>QTY</t>
  </si>
  <si>
    <t>CONDITION</t>
  </si>
  <si>
    <t>PROGRESS</t>
  </si>
  <si>
    <t>PALLET</t>
  </si>
  <si>
    <t>BARCODE</t>
  </si>
  <si>
    <t>HP</t>
  </si>
  <si>
    <t>DESKTOP</t>
  </si>
  <si>
    <t>AUD9420B7F</t>
  </si>
  <si>
    <t>PRODESK 600 G5</t>
  </si>
  <si>
    <t>I5-9TH GEN</t>
  </si>
  <si>
    <t>8GB</t>
  </si>
  <si>
    <t>256GB</t>
  </si>
  <si>
    <t>6VBDMP2</t>
  </si>
  <si>
    <t>DELL</t>
  </si>
  <si>
    <t>OPTIPLEX 7050</t>
  </si>
  <si>
    <t>I7-7TH GEN</t>
  </si>
  <si>
    <t>32GB</t>
  </si>
  <si>
    <t>2TB</t>
  </si>
  <si>
    <t>6W5FMP2</t>
  </si>
  <si>
    <t>I5-7TH GEN</t>
  </si>
  <si>
    <t>256GB SSD</t>
  </si>
  <si>
    <t>JJDR6Z2</t>
  </si>
  <si>
    <t>OPTIPLEX 3060</t>
  </si>
  <si>
    <t>I3-8TH GEN</t>
  </si>
  <si>
    <t>500GB HDD</t>
  </si>
  <si>
    <t>AUD8060FFR</t>
  </si>
  <si>
    <t>ELITEDESK 800 G5</t>
  </si>
  <si>
    <t>AUD8230KW9</t>
  </si>
  <si>
    <t>Model</t>
  </si>
  <si>
    <t>Barcode</t>
  </si>
  <si>
    <t>Quantity</t>
  </si>
  <si>
    <t>Date</t>
  </si>
  <si>
    <t>Invoice Number</t>
  </si>
  <si>
    <t>Standard</t>
  </si>
  <si>
    <t>Fill Out</t>
  </si>
  <si>
    <t>(blank)</t>
  </si>
  <si>
    <t>600 G4</t>
  </si>
  <si>
    <t>Processor</t>
  </si>
  <si>
    <t>Sum of Qty</t>
  </si>
  <si>
    <t>Column2</t>
  </si>
  <si>
    <t>Column3</t>
  </si>
  <si>
    <t>Inv20</t>
  </si>
  <si>
    <t>OPTIPLEX 7050_I7-7TH GEN</t>
  </si>
  <si>
    <t>Values</t>
  </si>
  <si>
    <t>Sale Model</t>
  </si>
  <si>
    <t>Sale Processor</t>
  </si>
  <si>
    <t>Sale Quantity</t>
  </si>
  <si>
    <t>Sale Barcode</t>
  </si>
  <si>
    <t>Stock On Hand</t>
  </si>
  <si>
    <t>Sale Date</t>
  </si>
  <si>
    <t>Sale Invoice Number</t>
  </si>
  <si>
    <t>OPTIPLEX 7050_I5-7TH GEN</t>
  </si>
  <si>
    <t>PRODESK 600 G5_I5-9TH GEN</t>
  </si>
  <si>
    <t>OPTIPLEX 3060_I3-8TH GEN</t>
  </si>
  <si>
    <t>ELITEDESK 800 G5_I5-9TH GEN</t>
  </si>
  <si>
    <t>Sum of Stock On Hand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</si>
</sst>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4"/>
      <color theme="1"/>
      <name val="Calibri"/>
      <family val="2"/>
      <scheme val="minor"/>
    </font>
    <font>
      <b/>
      <sz val="18"/>
      <color theme="1"/>
      <name val="Calibri"/>
      <family val="2"/>
      <scheme val="minor"/>
    </font>
    <font>
      <sz val="11"/>
      <color theme="1"/>
      <name val="IDAutomationHC39M Free Version"/>
      <family val="1"/>
      <charset val="2"/>
    </font>
    <font>
      <sz val="11"/>
      <name val="Calibri"/>
      <family val="2"/>
    </font>
    <font>
      <sz val="14"/>
      <color rgb="FF000000"/>
      <name val="Amasis MT Pro Black"/>
      <family val="1"/>
    </font>
    <font>
      <sz val="8"/>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59999389629810485"/>
        <bgColor theme="4" tint="0.59999389629810485"/>
      </patternFill>
    </fill>
  </fills>
  <borders count="8">
    <border>
      <left/>
      <right/>
      <top/>
      <bottom/>
      <diagonal/>
    </border>
    <border>
      <left style="thin">
        <color auto="1"/>
      </left>
      <right/>
      <top/>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style="thin">
        <color theme="4" tint="0.39997558519241921"/>
      </left>
      <right/>
      <top style="thin">
        <color auto="1"/>
      </top>
      <bottom/>
      <diagonal/>
    </border>
    <border>
      <left style="thin">
        <color theme="4" tint="0.39997558519241921"/>
      </left>
      <right style="thin">
        <color theme="4" tint="0.39997558519241921"/>
      </right>
      <top style="thin">
        <color auto="1"/>
      </top>
      <bottom/>
      <diagonal/>
    </border>
    <border>
      <left style="thin">
        <color theme="4" tint="0.39997558519241921"/>
      </left>
      <right/>
      <top/>
      <bottom/>
      <diagonal/>
    </border>
  </borders>
  <cellStyleXfs count="1">
    <xf numFmtId="0" fontId="0" fillId="0" borderId="0"/>
  </cellStyleXfs>
  <cellXfs count="31">
    <xf numFmtId="0" fontId="0" fillId="0" borderId="0" xfId="0"/>
    <xf numFmtId="0" fontId="3" fillId="0" borderId="0" xfId="0" applyFont="1"/>
    <xf numFmtId="0" fontId="0" fillId="0" borderId="0" xfId="0" pivotButton="1"/>
    <xf numFmtId="0" fontId="0" fillId="0" borderId="0" xfId="0" applyAlignment="1">
      <alignment horizontal="left"/>
    </xf>
    <xf numFmtId="14" fontId="0" fillId="0" borderId="0" xfId="0" applyNumberFormat="1"/>
    <xf numFmtId="0" fontId="0" fillId="0" borderId="0" xfId="0" applyNumberFormat="1"/>
    <xf numFmtId="0" fontId="1" fillId="2" borderId="1" xfId="0" applyFont="1" applyFill="1" applyBorder="1" applyAlignment="1">
      <alignment horizontal="center" vertical="center"/>
    </xf>
    <xf numFmtId="0" fontId="1"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4" borderId="3" xfId="0" applyFont="1" applyFill="1" applyBorder="1" applyAlignment="1">
      <alignment horizontal="left"/>
    </xf>
    <xf numFmtId="14" fontId="0" fillId="4" borderId="5" xfId="0" applyNumberFormat="1" applyFont="1" applyFill="1" applyBorder="1" applyAlignment="1">
      <alignment horizontal="left"/>
    </xf>
    <xf numFmtId="0" fontId="0" fillId="4" borderId="5" xfId="0" applyFont="1" applyFill="1" applyBorder="1"/>
    <xf numFmtId="0" fontId="0" fillId="3" borderId="5" xfId="0" applyFont="1" applyFill="1" applyBorder="1"/>
    <xf numFmtId="0" fontId="4" fillId="4" borderId="5" xfId="0" applyFont="1" applyFill="1" applyBorder="1"/>
    <xf numFmtId="0" fontId="0" fillId="4" borderId="5" xfId="0" applyFont="1" applyFill="1" applyBorder="1" applyAlignment="1">
      <alignment horizontal="left"/>
    </xf>
    <xf numFmtId="0" fontId="3" fillId="4" borderId="4" xfId="0" applyNumberFormat="1" applyFont="1" applyFill="1" applyBorder="1" applyAlignment="1">
      <alignment horizontal="center" vertical="center"/>
    </xf>
    <xf numFmtId="0" fontId="0" fillId="4" borderId="0" xfId="0" applyFont="1" applyFill="1" applyBorder="1" applyAlignment="1">
      <alignment horizontal="left"/>
    </xf>
    <xf numFmtId="14" fontId="0" fillId="4" borderId="7" xfId="0" applyNumberFormat="1" applyFont="1" applyFill="1" applyBorder="1" applyAlignment="1">
      <alignment horizontal="left"/>
    </xf>
    <xf numFmtId="0" fontId="0" fillId="4" borderId="7" xfId="0" applyFont="1" applyFill="1" applyBorder="1"/>
    <xf numFmtId="0" fontId="0" fillId="4" borderId="7" xfId="0" applyFont="1" applyFill="1" applyBorder="1" applyAlignment="1">
      <alignment horizontal="left"/>
    </xf>
    <xf numFmtId="0" fontId="0" fillId="3" borderId="7" xfId="0" applyFont="1" applyFill="1" applyBorder="1"/>
    <xf numFmtId="0" fontId="4" fillId="4" borderId="7" xfId="0" applyFont="1" applyFill="1" applyBorder="1"/>
    <xf numFmtId="0" fontId="3" fillId="4" borderId="1" xfId="0" applyNumberFormat="1" applyFont="1" applyFill="1" applyBorder="1" applyAlignment="1">
      <alignment horizontal="center" vertical="center"/>
    </xf>
    <xf numFmtId="0" fontId="1" fillId="2" borderId="2" xfId="0" applyFont="1" applyFill="1" applyBorder="1" applyAlignment="1">
      <alignment vertical="center"/>
    </xf>
    <xf numFmtId="0" fontId="3" fillId="0" borderId="0" xfId="0" applyFont="1" applyAlignment="1"/>
    <xf numFmtId="0" fontId="3" fillId="4" borderId="5" xfId="0" applyFont="1" applyFill="1" applyBorder="1" applyAlignment="1">
      <alignment horizontal="center"/>
    </xf>
    <xf numFmtId="0" fontId="3" fillId="4" borderId="7" xfId="0" applyFont="1" applyFill="1" applyBorder="1" applyAlignment="1">
      <alignment horizontal="center"/>
    </xf>
    <xf numFmtId="0" fontId="0" fillId="4" borderId="5" xfId="0" applyNumberFormat="1" applyFont="1" applyFill="1" applyBorder="1" applyAlignment="1">
      <alignment horizontal="left"/>
    </xf>
    <xf numFmtId="0" fontId="0" fillId="4" borderId="6" xfId="0" applyFont="1" applyFill="1" applyBorder="1" applyAlignment="1">
      <alignment horizontal="left"/>
    </xf>
    <xf numFmtId="0" fontId="3" fillId="4" borderId="5" xfId="0" applyNumberFormat="1" applyFont="1" applyFill="1" applyBorder="1" applyAlignment="1">
      <alignment horizontal="center"/>
    </xf>
    <xf numFmtId="0" fontId="0" fillId="4" borderId="7" xfId="0" applyNumberFormat="1" applyFont="1" applyFill="1" applyBorder="1" applyAlignment="1">
      <alignment horizontal="left"/>
    </xf>
  </cellXfs>
  <cellStyles count="1">
    <cellStyle name="Normal" xfId="0" builtinId="0"/>
  </cellStyles>
  <dxfs count="43">
    <dxf>
      <font>
        <b val="0"/>
        <i val="0"/>
        <strike val="0"/>
        <condense val="0"/>
        <extend val="0"/>
        <outline val="0"/>
        <shadow val="0"/>
        <u val="none"/>
        <vertAlign val="baseline"/>
        <sz val="11"/>
        <color theme="1"/>
        <name val="Calibri"/>
        <family val="2"/>
        <scheme val="minor"/>
      </font>
      <numFmt numFmtId="0" formatCode="General"/>
      <fill>
        <patternFill patternType="solid">
          <fgColor theme="4" tint="0.59999389629810485"/>
          <bgColor theme="4" tint="0.59999389629810485"/>
        </patternFill>
      </fill>
      <alignment horizontal="left" vertical="bottom" textRotation="0" wrapText="0" indent="0" justifyLastLine="0" shrinkToFit="0" readingOrder="0"/>
      <border diagonalUp="0" diagonalDown="0">
        <left style="thin">
          <color theme="4" tint="0.39997558519241921"/>
        </left>
        <right/>
        <top/>
        <bottom/>
        <vertical/>
        <horizontal/>
      </border>
    </dxf>
    <dxf>
      <font>
        <color rgb="FF9C0006"/>
      </font>
      <fill>
        <patternFill>
          <bgColor rgb="FFFFC7CE"/>
        </patternFill>
      </fill>
    </dxf>
    <dxf>
      <font>
        <b val="0"/>
        <i val="0"/>
        <strike val="0"/>
        <condense val="0"/>
        <extend val="0"/>
        <outline val="0"/>
        <shadow val="0"/>
        <u val="none"/>
        <vertAlign val="baseline"/>
        <sz val="11"/>
        <color theme="1"/>
        <name val="IDAutomationHC39M Free Version"/>
        <family val="1"/>
        <charset val="2"/>
        <scheme val="none"/>
      </font>
      <numFmt numFmtId="0" formatCode="General"/>
      <fill>
        <patternFill patternType="solid">
          <fgColor theme="4" tint="0.59999389629810485"/>
          <bgColor theme="4" tint="0.59999389629810485"/>
        </patternFill>
      </fill>
      <alignment horizontal="center" vertical="bottom" textRotation="0" wrapText="0" indent="0" justifyLastLine="0" shrinkToFit="0" readingOrder="0"/>
      <border diagonalUp="0" diagonalDown="0" outline="0">
        <left style="thin">
          <color theme="4" tint="0.39997558519241921"/>
        </left>
        <right/>
        <top style="thin">
          <color auto="1"/>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alignment horizontal="left" vertical="bottom" textRotation="0" wrapText="0" indent="0" justifyLastLine="0" shrinkToFit="0" readingOrder="0"/>
      <border diagonalUp="0" diagonalDown="0" outline="0">
        <left style="thin">
          <color theme="4" tint="0.39997558519241921"/>
        </left>
        <right style="thin">
          <color theme="4" tint="0.39997558519241921"/>
        </right>
        <top style="thin">
          <color auto="1"/>
        </top>
        <bottom/>
      </border>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59999389629810485"/>
          <bgColor theme="4" tint="0.59999389629810485"/>
        </patternFill>
      </fill>
      <alignment horizontal="left" vertical="bottom" textRotation="0" wrapText="0" indent="0" justifyLastLine="0" shrinkToFit="0" readingOrder="0"/>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IDAutomationHC39M Free Version"/>
        <family val="1"/>
        <charset val="2"/>
        <scheme val="none"/>
      </font>
      <numFmt numFmtId="0" formatCode="General"/>
      <fill>
        <patternFill patternType="solid">
          <fgColor theme="4" tint="0.59999389629810485"/>
          <bgColor theme="4" tint="0.59999389629810485"/>
        </patternFill>
      </fill>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alignment horizontal="left" vertical="bottom" textRotation="0" wrapText="0" indent="0" justifyLastLine="0" shrinkToFit="0" readingOrder="0"/>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alignment horizontal="left" vertical="bottom" textRotation="0" wrapText="0" indent="0" justifyLastLine="0" shrinkToFit="0" readingOrder="0"/>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19" formatCode="d/mm/yyyy"/>
      <fill>
        <patternFill patternType="solid">
          <fgColor theme="4" tint="0.59999389629810485"/>
          <bgColor theme="4" tint="0.59999389629810485"/>
        </patternFill>
      </fill>
      <alignment horizontal="left" vertical="bottom" textRotation="0" wrapText="0" indent="0" justifyLastLine="0" shrinkToFit="0" readingOrder="0"/>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alignment horizontal="left" vertical="bottom" textRotation="0" wrapText="0" indent="0" justifyLastLine="0" shrinkToFit="0" readingOrder="0"/>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auto="1"/>
        <name val="Calibri"/>
        <family val="2"/>
        <scheme val="none"/>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00B050"/>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19" formatCode="d/mm/yyyy"/>
      <fill>
        <patternFill patternType="solid">
          <fgColor theme="4" tint="0.59999389629810485"/>
          <bgColor theme="4" tint="0.59999389629810485"/>
        </patternFill>
      </fill>
      <alignment horizontal="left" vertical="bottom" textRotation="0" wrapText="0" indent="0" justifyLastLine="0" shrinkToFit="0" readingOrder="0"/>
      <border diagonalUp="0" diagonalDown="0">
        <left style="thin">
          <color theme="4" tint="0.3999755851924192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alignment horizontal="left" vertical="bottom" textRotation="0" wrapText="0" indent="0" justifyLastLine="0" shrinkToFit="0" readingOrder="0"/>
      <border diagonalUp="0" diagonalDown="0">
        <left/>
        <right/>
        <top style="thin">
          <color auto="1"/>
        </top>
        <bottom/>
        <vertical/>
        <horizontal/>
      </border>
    </dxf>
    <dxf>
      <border outline="0">
        <left style="thin">
          <color auto="1"/>
        </left>
        <top style="thin">
          <color auto="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i val="0"/>
        <strike val="0"/>
        <condense val="0"/>
        <extend val="0"/>
        <outline val="0"/>
        <shadow val="0"/>
        <u val="none"/>
        <vertAlign val="baseline"/>
        <sz val="14"/>
        <color theme="1"/>
        <name val="Calibri"/>
        <family val="2"/>
        <scheme val="minor"/>
      </font>
      <fill>
        <patternFill patternType="solid">
          <fgColor indexed="64"/>
          <bgColor rgb="FFFFFF00"/>
        </patternFill>
      </fill>
      <alignment horizontal="center" vertical="center"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IDAutomationHC39M Free Version"/>
        <family val="1"/>
        <charset val="2"/>
        <scheme val="none"/>
      </font>
      <numFmt numFmtId="0" formatCode="General"/>
      <fill>
        <patternFill patternType="solid">
          <fgColor theme="0" tint="-0.14999847407452621"/>
          <bgColor theme="0" tint="-0.14999847407452621"/>
        </patternFill>
      </fill>
      <border diagonalUp="0" diagonalDown="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numFmt numFmtId="19" formatCode="d/mm/yyyy"/>
      <fill>
        <patternFill patternType="solid">
          <fgColor theme="0" tint="-0.14999847407452621"/>
          <bgColor theme="0" tint="-0.14999847407452621"/>
        </patternFill>
      </fill>
      <border diagonalUp="0" diagonalDown="0">
        <left style="thin">
          <color theme="1"/>
        </left>
        <right style="thin">
          <color theme="1"/>
        </right>
        <top style="thin">
          <color theme="1"/>
        </top>
        <bottom style="thin">
          <color theme="1"/>
        </bottom>
      </border>
    </dxf>
    <dxf>
      <font>
        <name val="IDAutomationHC39M Free Version"/>
        <family val="1"/>
        <charset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281940</xdr:colOff>
          <xdr:row>4</xdr:row>
          <xdr:rowOff>45720</xdr:rowOff>
        </xdr:from>
        <xdr:to>
          <xdr:col>26</xdr:col>
          <xdr:colOff>60960</xdr:colOff>
          <xdr:row>6</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AU" sz="1400" b="0" i="0" u="none" strike="noStrike" baseline="0">
                  <a:solidFill>
                    <a:srgbClr val="000000"/>
                  </a:solidFill>
                  <a:latin typeface="Amasis MT Pro Black"/>
                </a:rPr>
                <a:t>INSERT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22860</xdr:colOff>
          <xdr:row>1</xdr:row>
          <xdr:rowOff>45720</xdr:rowOff>
        </xdr:from>
        <xdr:to>
          <xdr:col>11</xdr:col>
          <xdr:colOff>502920</xdr:colOff>
          <xdr:row>2</xdr:row>
          <xdr:rowOff>220980</xdr:rowOff>
        </xdr:to>
        <xdr:sp macro="" textlink="">
          <xdr:nvSpPr>
            <xdr:cNvPr id="2049" name="cmdMakePivot"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twoCellAnchor editAs="oneCell">
    <xdr:from>
      <xdr:col>13</xdr:col>
      <xdr:colOff>205740</xdr:colOff>
      <xdr:row>2</xdr:row>
      <xdr:rowOff>335280</xdr:rowOff>
    </xdr:from>
    <xdr:to>
      <xdr:col>16</xdr:col>
      <xdr:colOff>205740</xdr:colOff>
      <xdr:row>5</xdr:row>
      <xdr:rowOff>356235</xdr:rowOff>
    </xdr:to>
    <mc:AlternateContent xmlns:mc="http://schemas.openxmlformats.org/markup-compatibility/2006">
      <mc:Choice xmlns:a14="http://schemas.microsoft.com/office/drawing/2010/main" Requires="a14">
        <xdr:graphicFrame macro="">
          <xdr:nvGraphicFramePr>
            <xdr:cNvPr id="2" name="MODEL">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dr:sp macro="" textlink="">
          <xdr:nvSpPr>
            <xdr:cNvPr id="0" name=""/>
            <xdr:cNvSpPr>
              <a:spLocks noTextEdit="1"/>
            </xdr:cNvSpPr>
          </xdr:nvSpPr>
          <xdr:spPr>
            <a:xfrm>
              <a:off x="16558260" y="701040"/>
              <a:ext cx="1828800" cy="246697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457200</xdr:colOff>
      <xdr:row>2</xdr:row>
      <xdr:rowOff>342900</xdr:rowOff>
    </xdr:from>
    <xdr:to>
      <xdr:col>19</xdr:col>
      <xdr:colOff>457200</xdr:colOff>
      <xdr:row>5</xdr:row>
      <xdr:rowOff>363855</xdr:rowOff>
    </xdr:to>
    <mc:AlternateContent xmlns:mc="http://schemas.openxmlformats.org/markup-compatibility/2006">
      <mc:Choice xmlns:a14="http://schemas.microsoft.com/office/drawing/2010/main" Requires="a14">
        <xdr:graphicFrame macro="">
          <xdr:nvGraphicFramePr>
            <xdr:cNvPr id="3" name="PROCESSOR">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PROCESSOR"/>
            </a:graphicData>
          </a:graphic>
        </xdr:graphicFrame>
      </mc:Choice>
      <mc:Fallback>
        <xdr:sp macro="" textlink="">
          <xdr:nvSpPr>
            <xdr:cNvPr id="0" name=""/>
            <xdr:cNvSpPr>
              <a:spLocks noTextEdit="1"/>
            </xdr:cNvSpPr>
          </xdr:nvSpPr>
          <xdr:spPr>
            <a:xfrm>
              <a:off x="18638520" y="708660"/>
              <a:ext cx="1828800" cy="246697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152400</xdr:colOff>
      <xdr:row>2</xdr:row>
      <xdr:rowOff>0</xdr:rowOff>
    </xdr:from>
    <xdr:to>
      <xdr:col>5</xdr:col>
      <xdr:colOff>152400</xdr:colOff>
      <xdr:row>4</xdr:row>
      <xdr:rowOff>121920</xdr:rowOff>
    </xdr:to>
    <xdr:sp macro="[0]!Macro3" textlink="">
      <xdr:nvSpPr>
        <xdr:cNvPr id="2" name="Rectangle: Rounded Corners 1">
          <a:extLst>
            <a:ext uri="{FF2B5EF4-FFF2-40B4-BE49-F238E27FC236}">
              <a16:creationId xmlns:a16="http://schemas.microsoft.com/office/drawing/2014/main" id="{00000000-0008-0000-0300-000002000000}"/>
            </a:ext>
          </a:extLst>
        </xdr:cNvPr>
        <xdr:cNvSpPr/>
      </xdr:nvSpPr>
      <xdr:spPr>
        <a:xfrm>
          <a:off x="3025140" y="365760"/>
          <a:ext cx="609600" cy="304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SALE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114300</xdr:colOff>
          <xdr:row>1</xdr:row>
          <xdr:rowOff>312420</xdr:rowOff>
        </xdr:from>
        <xdr:to>
          <xdr:col>16</xdr:col>
          <xdr:colOff>586740</xdr:colOff>
          <xdr:row>1</xdr:row>
          <xdr:rowOff>708660</xdr:rowOff>
        </xdr:to>
        <xdr:sp macro="" textlink="">
          <xdr:nvSpPr>
            <xdr:cNvPr id="6145" name="StockUpdateB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orullah Khan" refreshedDate="45200.966093055555" createdVersion="8" refreshedVersion="8" minRefreshableVersion="3" recordCount="13" xr:uid="{A72906E7-56A1-4A5A-893B-64A5A484A23A}">
  <cacheSource type="worksheet">
    <worksheetSource name="Stock"/>
  </cacheSource>
  <cacheFields count="27">
    <cacheField name="ID" numFmtId="0">
      <sharedItems containsSemiMixedTypes="0" containsString="0" containsNumber="1" containsInteger="1" minValue="23187" maxValue="23187"/>
    </cacheField>
    <cacheField name="DATE" numFmtId="14">
      <sharedItems containsNonDate="0" containsDate="1" containsString="0" containsBlank="1" minDate="2023-06-13T00:00:00" maxDate="2023-06-14T00:00:00"/>
    </cacheField>
    <cacheField name="ASSET TYPE" numFmtId="0">
      <sharedItems containsBlank="1"/>
    </cacheField>
    <cacheField name="ASSET TAG" numFmtId="0">
      <sharedItems containsString="0" containsBlank="1" containsNumber="1" containsInteger="1" minValue="21489" maxValue="23187"/>
    </cacheField>
    <cacheField name="S/NO" numFmtId="0">
      <sharedItems containsMixedTypes="1" containsNumber="1" containsInteger="1" minValue="45090" maxValue="45090"/>
    </cacheField>
    <cacheField name="MAKE" numFmtId="0">
      <sharedItems/>
    </cacheField>
    <cacheField name="MODEL" numFmtId="0">
      <sharedItems containsBlank="1" count="6">
        <s v="OPTIPLEX 7050"/>
        <m/>
        <s v="PRODESK 600 G5"/>
        <s v="OPTIPLEX 3060"/>
        <s v="ELITEDESK 800 G5"/>
        <s v="P2217" u="1"/>
      </sharedItems>
    </cacheField>
    <cacheField name="PROCESSOR" numFmtId="0">
      <sharedItems containsBlank="1" count="11">
        <s v="I7-7TH GEN"/>
        <s v="AUD9420B7F"/>
        <s v="6VBDMP2"/>
        <s v="6W5FMP2"/>
        <s v="JJDR6Z2"/>
        <s v="AUD8060FFR"/>
        <s v="AUD8230KW9"/>
        <s v="I5-9TH GEN"/>
        <s v="I5-7TH GEN"/>
        <s v="I3-8TH GEN"/>
        <m u="1"/>
      </sharedItems>
    </cacheField>
    <cacheField name="SPEED" numFmtId="0">
      <sharedItems containsBlank="1"/>
    </cacheField>
    <cacheField name="RAM" numFmtId="0">
      <sharedItems/>
    </cacheField>
    <cacheField name="HDD" numFmtId="0">
      <sharedItems/>
    </cacheField>
    <cacheField name="HDD Serials" numFmtId="0">
      <sharedItems containsNonDate="0" containsString="0" containsBlank="1"/>
    </cacheField>
    <cacheField name="CASE TYPE" numFmtId="0">
      <sharedItems containsBlank="1"/>
    </cacheField>
    <cacheField name="SCREEN Size" numFmtId="0">
      <sharedItems containsBlank="1"/>
    </cacheField>
    <cacheField name="AC ADAPTER " numFmtId="0">
      <sharedItems containsNonDate="0" containsString="0" containsBlank="1"/>
    </cacheField>
    <cacheField name="QTY" numFmtId="0">
      <sharedItems containsString="0" containsBlank="1" containsNumber="1" containsInteger="1" minValue="1" maxValue="1"/>
    </cacheField>
    <cacheField name="CONDITION" numFmtId="0">
      <sharedItems containsNonDate="0" containsString="0" containsBlank="1"/>
    </cacheField>
    <cacheField name="PROGRESS" numFmtId="0">
      <sharedItems containsString="0" containsBlank="1" containsNumber="1" containsInteger="1" minValue="2" maxValue="2"/>
    </cacheField>
    <cacheField name="PALLET" numFmtId="0">
      <sharedItems containsString="0" containsBlank="1" containsNumber="1" containsInteger="1" minValue="1" maxValue="1"/>
    </cacheField>
    <cacheField name="BARCODE" numFmtId="0">
      <sharedItems count="12">
        <s v="OPTIPLEX 7050_I7-7TH GEN"/>
        <s v="AUD9420B7F"/>
        <s v="6VBDMP2"/>
        <s v="6W5FMP2"/>
        <s v="JJDR6Z2"/>
        <s v="AUD8060FFR"/>
        <s v="AUD8230KW9"/>
        <s v="PRODESK 600 G5_I5-9TH GEN"/>
        <s v="OPTIPLEX 7050_I5-7TH GEN"/>
        <s v="OPTIPLEX 3060_I3-8TH GEN"/>
        <s v="ELITEDESK 800 G5_I5-9TH GEN"/>
        <s v="P2217" u="1"/>
      </sharedItems>
    </cacheField>
    <cacheField name="Stock On Hand" numFmtId="0">
      <sharedItems containsSemiMixedTypes="0" containsString="0" containsNumber="1" containsInteger="1" minValue="-39" maxValue="1"/>
    </cacheField>
    <cacheField name="Sale Date" numFmtId="0">
      <sharedItems containsString="0" containsBlank="1" containsNumber="1" containsInteger="1" minValue="45170" maxValue="45170"/>
    </cacheField>
    <cacheField name="Sale Invoice Number" numFmtId="0">
      <sharedItems containsBlank="1"/>
    </cacheField>
    <cacheField name="Sale Model" numFmtId="0">
      <sharedItems containsMixedTypes="1" containsNumber="1" containsInteger="1" minValue="0" maxValue="0"/>
    </cacheField>
    <cacheField name="Sale Processor" numFmtId="0">
      <sharedItems/>
    </cacheField>
    <cacheField name="Sale Quantity" numFmtId="0">
      <sharedItems containsString="0" containsBlank="1" containsNumber="1" containsInteger="1" minValue="40" maxValue="40"/>
    </cacheField>
    <cacheField name="Sale Barcode" numFmtId="0">
      <sharedItems/>
    </cacheField>
  </cacheFields>
  <extLst>
    <ext xmlns:x14="http://schemas.microsoft.com/office/spreadsheetml/2009/9/main" uri="{725AE2AE-9491-48be-B2B4-4EB974FC3084}">
      <x14:pivotCacheDefinition pivotCacheId="4195633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n v="23187"/>
    <d v="2023-06-13T00:00:00"/>
    <s v="DESKTOP"/>
    <n v="21489"/>
    <s v="6VBDMP2"/>
    <s v="DELL"/>
    <x v="0"/>
    <x v="0"/>
    <m/>
    <s v="32GB"/>
    <s v="2TB"/>
    <m/>
    <m/>
    <m/>
    <m/>
    <n v="1"/>
    <m/>
    <n v="2"/>
    <m/>
    <x v="0"/>
    <n v="-39"/>
    <n v="45170"/>
    <s v="Inv20"/>
    <s v="OPTIPLEX 7050"/>
    <s v="I7-7TH GEN"/>
    <n v="40"/>
    <s v="OPTIPLEX 7050_I7-7TH GEN"/>
  </r>
  <r>
    <n v="23187"/>
    <m/>
    <m/>
    <n v="23187"/>
    <n v="45090"/>
    <s v="DESKTOP"/>
    <x v="1"/>
    <x v="1"/>
    <s v="HP"/>
    <s v="PRODESK 600 G5"/>
    <s v="I5-9TH GEN"/>
    <m/>
    <s v="8GB"/>
    <s v="256GB"/>
    <m/>
    <m/>
    <m/>
    <m/>
    <n v="1"/>
    <x v="1"/>
    <n v="0"/>
    <m/>
    <m/>
    <n v="0"/>
    <s v="AUD9420B7F"/>
    <m/>
    <s v="AUD9420B7F"/>
  </r>
  <r>
    <n v="23187"/>
    <m/>
    <m/>
    <n v="23187"/>
    <n v="45090"/>
    <s v="DESKTOP"/>
    <x v="1"/>
    <x v="2"/>
    <s v="DELL"/>
    <s v="OPTIPLEX 7050"/>
    <s v="I7-7TH GEN"/>
    <m/>
    <s v="32GB"/>
    <s v="2TB"/>
    <m/>
    <m/>
    <m/>
    <m/>
    <n v="1"/>
    <x v="2"/>
    <n v="0"/>
    <m/>
    <m/>
    <n v="0"/>
    <s v="6VBDMP2"/>
    <m/>
    <s v="6VBDMP2"/>
  </r>
  <r>
    <n v="23187"/>
    <m/>
    <m/>
    <n v="23187"/>
    <n v="45090"/>
    <s v="DESKTOP"/>
    <x v="1"/>
    <x v="3"/>
    <s v="DELL"/>
    <s v="OPTIPLEX 7050"/>
    <s v="I5-7TH GEN"/>
    <m/>
    <s v="8GB"/>
    <s v="256GB SSD"/>
    <m/>
    <m/>
    <m/>
    <m/>
    <n v="1"/>
    <x v="3"/>
    <n v="0"/>
    <m/>
    <m/>
    <n v="0"/>
    <s v="6W5FMP2"/>
    <m/>
    <s v="6W5FMP2"/>
  </r>
  <r>
    <n v="23187"/>
    <m/>
    <m/>
    <n v="23187"/>
    <n v="45090"/>
    <s v="DESKTOP"/>
    <x v="1"/>
    <x v="4"/>
    <s v="DELL"/>
    <s v="OPTIPLEX 3060"/>
    <s v="I3-8TH GEN"/>
    <m/>
    <s v="8GB"/>
    <s v="500GB HDD"/>
    <m/>
    <m/>
    <m/>
    <m/>
    <n v="1"/>
    <x v="4"/>
    <n v="0"/>
    <m/>
    <m/>
    <n v="0"/>
    <s v="JJDR6Z2"/>
    <m/>
    <s v="JJDR6Z2"/>
  </r>
  <r>
    <n v="23187"/>
    <m/>
    <m/>
    <n v="23187"/>
    <n v="45090"/>
    <s v="DESKTOP"/>
    <x v="1"/>
    <x v="5"/>
    <s v="HP"/>
    <s v="ELITEDESK 800 G5"/>
    <s v="I5-9TH GEN"/>
    <m/>
    <s v="8GB"/>
    <s v="256GB SSD"/>
    <m/>
    <m/>
    <m/>
    <m/>
    <n v="1"/>
    <x v="5"/>
    <n v="0"/>
    <m/>
    <m/>
    <n v="0"/>
    <s v="AUD8060FFR"/>
    <m/>
    <s v="AUD8060FFR"/>
  </r>
  <r>
    <n v="23187"/>
    <m/>
    <m/>
    <n v="23187"/>
    <n v="45090"/>
    <s v="DESKTOP"/>
    <x v="1"/>
    <x v="6"/>
    <s v="HP"/>
    <s v="ELITEDESK 800 G5"/>
    <s v="I5-9TH GEN"/>
    <m/>
    <s v="8GB"/>
    <s v="256GB SSD"/>
    <m/>
    <m/>
    <m/>
    <m/>
    <n v="1"/>
    <x v="6"/>
    <n v="0"/>
    <m/>
    <m/>
    <n v="0"/>
    <s v="AUD8230KW9"/>
    <m/>
    <s v="AUD8230KW9"/>
  </r>
  <r>
    <n v="23187"/>
    <d v="2023-06-13T00:00:00"/>
    <s v="DESKTOP"/>
    <m/>
    <s v="AUD9420B7F"/>
    <s v="HP"/>
    <x v="2"/>
    <x v="7"/>
    <m/>
    <s v="8GB"/>
    <s v="256GB"/>
    <m/>
    <m/>
    <m/>
    <m/>
    <n v="1"/>
    <m/>
    <n v="2"/>
    <m/>
    <x v="7"/>
    <n v="1"/>
    <m/>
    <m/>
    <s v="PRODESK 600 G5"/>
    <s v="I5-9TH GEN"/>
    <m/>
    <s v="PRODESK 600 G5_I5-9TH GEN"/>
  </r>
  <r>
    <n v="23187"/>
    <d v="2023-06-13T00:00:00"/>
    <s v="DESKTOP"/>
    <m/>
    <s v="6VBDMP2"/>
    <s v="DELL"/>
    <x v="0"/>
    <x v="0"/>
    <m/>
    <s v="32GB"/>
    <s v="2TB"/>
    <m/>
    <m/>
    <m/>
    <m/>
    <n v="1"/>
    <m/>
    <n v="2"/>
    <m/>
    <x v="0"/>
    <n v="1"/>
    <m/>
    <m/>
    <s v="OPTIPLEX 7050"/>
    <s v="I7-7TH GEN"/>
    <m/>
    <s v="OPTIPLEX 7050_I7-7TH GEN"/>
  </r>
  <r>
    <n v="23187"/>
    <d v="2023-06-13T00:00:00"/>
    <s v="DESKTOP"/>
    <m/>
    <s v="6W5FMP2"/>
    <s v="DELL"/>
    <x v="0"/>
    <x v="8"/>
    <m/>
    <s v="8GB"/>
    <s v="256GB SSD"/>
    <m/>
    <m/>
    <m/>
    <m/>
    <n v="1"/>
    <m/>
    <n v="2"/>
    <m/>
    <x v="8"/>
    <n v="1"/>
    <m/>
    <m/>
    <s v="OPTIPLEX 7050"/>
    <s v="I5-7TH GEN"/>
    <m/>
    <s v="OPTIPLEX 7050_I5-7TH GEN"/>
  </r>
  <r>
    <n v="23187"/>
    <d v="2023-06-13T00:00:00"/>
    <s v="DESKTOP"/>
    <m/>
    <s v="JJDR6Z2"/>
    <s v="DELL"/>
    <x v="3"/>
    <x v="9"/>
    <m/>
    <s v="8GB"/>
    <s v="500GB HDD"/>
    <m/>
    <m/>
    <m/>
    <m/>
    <n v="1"/>
    <m/>
    <n v="2"/>
    <m/>
    <x v="9"/>
    <n v="1"/>
    <m/>
    <m/>
    <s v="OPTIPLEX 3060"/>
    <s v="I3-8TH GEN"/>
    <m/>
    <s v="OPTIPLEX 3060_I3-8TH GEN"/>
  </r>
  <r>
    <n v="23187"/>
    <d v="2023-06-13T00:00:00"/>
    <s v="DESKTOP"/>
    <m/>
    <s v="AUD8060FFR"/>
    <s v="HP"/>
    <x v="4"/>
    <x v="7"/>
    <m/>
    <s v="8GB"/>
    <s v="256GB SSD"/>
    <m/>
    <m/>
    <m/>
    <m/>
    <n v="1"/>
    <m/>
    <n v="2"/>
    <m/>
    <x v="10"/>
    <n v="1"/>
    <m/>
    <m/>
    <s v="ELITEDESK 800 G5"/>
    <s v="I5-9TH GEN"/>
    <m/>
    <s v="ELITEDESK 800 G5_I5-9TH GEN"/>
  </r>
  <r>
    <n v="23187"/>
    <d v="2023-06-13T00:00:00"/>
    <s v="DESKTOP"/>
    <m/>
    <s v="AUD8230KW9"/>
    <s v="HP"/>
    <x v="4"/>
    <x v="7"/>
    <m/>
    <s v="8GB"/>
    <s v="256GB SSD"/>
    <m/>
    <m/>
    <m/>
    <m/>
    <n v="1"/>
    <m/>
    <n v="2"/>
    <m/>
    <x v="10"/>
    <n v="1"/>
    <m/>
    <m/>
    <s v="ELITEDESK 800 G5"/>
    <s v="I5-9TH GEN"/>
    <m/>
    <s v="ELITEDESK 800 G5_I5-9TH GE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0B1B51-FF64-4FE0-A6E1-C2F0ABD66E7F}" name="PivotTable1" cacheId="80"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compact="0" compactData="0" multipleFieldFilters="0">
  <location ref="A1:E13" firstHeaderRow="1" firstDataRow="2" firstDataCol="3"/>
  <pivotFields count="27">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0"/>
        <item m="1" x="5"/>
        <item x="1"/>
        <item x="2"/>
        <item x="3"/>
        <item x="4"/>
      </items>
      <extLst>
        <ext xmlns:x14="http://schemas.microsoft.com/office/spreadsheetml/2009/9/main" uri="{2946ED86-A175-432a-8AC1-64E0C546D7DE}">
          <x14:pivotField fillDownLabels="1"/>
        </ext>
      </extLst>
    </pivotField>
    <pivotField axis="axisRow" compact="0" outline="0" showAll="0" defaultSubtotal="0">
      <items count="11">
        <item x="0"/>
        <item m="1" x="10"/>
        <item x="1"/>
        <item x="2"/>
        <item x="3"/>
        <item x="4"/>
        <item x="5"/>
        <item x="6"/>
        <item x="7"/>
        <item x="8"/>
        <item x="9"/>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2">
        <item m="1" x="11"/>
        <item x="0"/>
        <item x="1"/>
        <item x="2"/>
        <item x="3"/>
        <item x="4"/>
        <item x="5"/>
        <item x="6"/>
        <item x="7"/>
        <item x="8"/>
        <item x="9"/>
        <item x="1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6"/>
    <field x="7"/>
    <field x="19"/>
  </rowFields>
  <rowItems count="11">
    <i>
      <x/>
      <x/>
      <x v="1"/>
    </i>
    <i r="1">
      <x v="9"/>
      <x v="9"/>
    </i>
    <i>
      <x v="2"/>
      <x v="2"/>
      <x v="2"/>
    </i>
    <i r="1">
      <x v="3"/>
      <x v="3"/>
    </i>
    <i r="1">
      <x v="4"/>
      <x v="4"/>
    </i>
    <i r="1">
      <x v="5"/>
      <x v="5"/>
    </i>
    <i r="1">
      <x v="6"/>
      <x v="6"/>
    </i>
    <i r="1">
      <x v="7"/>
      <x v="7"/>
    </i>
    <i>
      <x v="3"/>
      <x v="8"/>
      <x v="8"/>
    </i>
    <i>
      <x v="4"/>
      <x v="10"/>
      <x v="10"/>
    </i>
    <i>
      <x v="5"/>
      <x v="8"/>
      <x v="11"/>
    </i>
  </rowItems>
  <colFields count="1">
    <field x="-2"/>
  </colFields>
  <colItems count="2">
    <i>
      <x/>
    </i>
    <i i="1">
      <x v="1"/>
    </i>
  </colItems>
  <dataFields count="2">
    <dataField name="Sum of Qty" fld="15" baseField="0" baseItem="0"/>
    <dataField name="Sum of Stock On Hand" fld="20" baseField="0" baseItem="0"/>
  </dataFields>
  <formats count="1">
    <format dxfId="42">
      <pivotArea dataOnly="0" labelOnly="1" outline="0" fieldPosition="0">
        <references count="1">
          <reference field="19" count="0"/>
        </references>
      </pivotArea>
    </format>
  </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 xr10:uid="{345FD14B-832E-48C7-8CEE-3C8A733A6E6F}" sourceName="MODEL">
  <pivotTables>
    <pivotTable tabId="8" name="PivotTable1"/>
  </pivotTables>
  <data>
    <tabular pivotCacheId="419563374">
      <items count="6">
        <i x="4" s="1"/>
        <i x="3" s="1"/>
        <i x="0" s="1"/>
        <i x="2" s="1"/>
        <i x="1"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CESSOR" xr10:uid="{57733DEC-4531-4308-A79D-955FBB14CF83}" sourceName="PROCESSOR">
  <pivotTables>
    <pivotTable tabId="8" name="PivotTable1"/>
  </pivotTables>
  <data>
    <tabular pivotCacheId="419563374">
      <items count="11">
        <i x="2" s="1"/>
        <i x="3" s="1"/>
        <i x="5" s="1"/>
        <i x="6" s="1"/>
        <i x="1" s="1"/>
        <i x="9" s="1"/>
        <i x="8" s="1"/>
        <i x="7" s="1"/>
        <i x="0" s="1"/>
        <i x="4" s="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DEL" xr10:uid="{C8E14574-0A88-4CC9-A0D7-927BEED74AD9}" cache="Slicer_MODEL" caption="MODEL" rowHeight="234950"/>
  <slicer name="PROCESSOR" xr10:uid="{17E27247-F5C9-4E86-8DDC-927B1469AA67}" cache="Slicer_PROCESSOR" caption="PROCESSO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08D1BB-1A4E-47A4-9CED-98280676DF0F}" name="Stock" displayName="Stock" ref="A1:AA14" totalsRowShown="0" headerRowDxfId="32" dataDxfId="31" tableBorderDxfId="30">
  <autoFilter ref="A1:AA14" xr:uid="{D508D1BB-1A4E-47A4-9CED-98280676DF0F}"/>
  <tableColumns count="27">
    <tableColumn id="1" xr3:uid="{C1F35501-2CBA-4460-846F-8F897409235B}" name="ID" dataDxfId="29"/>
    <tableColumn id="2" xr3:uid="{6C5F0319-4F9F-4DF2-85B8-2D073C175EA0}" name="DATE" dataDxfId="28"/>
    <tableColumn id="3" xr3:uid="{9EF5D3A4-7CFA-44A9-9C7F-13EB596FBB3D}" name="ASSET TYPE" dataDxfId="27"/>
    <tableColumn id="4" xr3:uid="{2500A1BA-DF12-4267-9267-64816066F44E}" name="ASSET TAG" dataDxfId="26"/>
    <tableColumn id="5" xr3:uid="{17B80502-219E-4BDA-8728-037B6D227E31}" name="S/NO" dataDxfId="25"/>
    <tableColumn id="6" xr3:uid="{764C916E-9518-4225-BA2A-67F8457F5E5C}" name="MAKE" dataDxfId="24"/>
    <tableColumn id="7" xr3:uid="{D751AAF9-9AF4-469D-A53F-B245289E7CEB}" name="MODEL" dataDxfId="23"/>
    <tableColumn id="8" xr3:uid="{A47CAF02-E096-430D-9BBE-6E25AA8B6B54}" name="PROCESSOR" dataDxfId="22"/>
    <tableColumn id="9" xr3:uid="{64B7FFC2-EFBE-4E93-8DDD-F82328E7F80B}" name="SPEED" dataDxfId="21"/>
    <tableColumn id="10" xr3:uid="{BB895A2E-E2A4-4096-B1AB-876A2D53006C}" name="RAM" dataDxfId="20"/>
    <tableColumn id="11" xr3:uid="{2EF09547-9B18-4F65-A1D7-0FA133CC5790}" name="HDD" dataDxfId="19"/>
    <tableColumn id="12" xr3:uid="{AF00C7AF-DE67-42A3-9861-69A26965ED96}" name="HDD Serials" dataDxfId="18"/>
    <tableColumn id="13" xr3:uid="{219647A9-BDDA-4DA0-B4B1-F13E3118906D}" name="CASE TYPE" dataDxfId="17"/>
    <tableColumn id="14" xr3:uid="{12C32CF3-0774-420A-9E89-CF07CE18E24F}" name="SCREEN Size" dataDxfId="16"/>
    <tableColumn id="15" xr3:uid="{6CC80286-8428-4B0D-8A7E-E29DB4CA1205}" name="AC ADAPTER " dataDxfId="15"/>
    <tableColumn id="16" xr3:uid="{AB999BF9-0B17-4E1B-BB75-8FA7650C93FA}" name="QTY" dataDxfId="14"/>
    <tableColumn id="17" xr3:uid="{EB04035F-5091-4BD7-99EE-4C234C005615}" name="CONDITION" dataDxfId="13"/>
    <tableColumn id="18" xr3:uid="{277CF9AC-ED9E-4202-9223-4AD286D213D1}" name="PROGRESS" dataDxfId="12"/>
    <tableColumn id="19" xr3:uid="{21DFEFB4-58E0-4FF1-8BE9-E0EDFBA55CCD}" name="PALLET" dataDxfId="11"/>
    <tableColumn id="20" xr3:uid="{6330B593-50AB-434D-9F35-AB99B70F0912}" name="BARCODE" dataDxfId="7">
      <calculatedColumnFormula>_xlfn.TEXTJOIN("_",TRUE,Stock[[#This Row],[MODEL]],Stock[[#This Row],[PROCESSOR]])</calculatedColumnFormula>
    </tableColumn>
    <tableColumn id="21" xr3:uid="{C41F2A25-552A-4527-ABED-E09C65647364}" name="Stock On Hand" dataDxfId="6">
      <calculatedColumnFormula>Stock[[#This Row],[QTY]]-Stock[[#This Row],[Sale Quantity]]</calculatedColumnFormula>
    </tableColumn>
    <tableColumn id="22" xr3:uid="{01AC7F80-DC7F-4177-A66B-B3E4F5E5C1E9}" name="Sale Date" dataDxfId="10"/>
    <tableColumn id="23" xr3:uid="{416A8164-A77E-4DD1-A814-A6967E18FDF3}" name="Sale Invoice Number" dataDxfId="9"/>
    <tableColumn id="24" xr3:uid="{AB9FA27D-7E36-4217-AEFF-22F6E6B65580}" name="Sale Model" dataDxfId="8">
      <calculatedColumnFormula>'Import Data'!$G2</calculatedColumnFormula>
    </tableColumn>
    <tableColumn id="27" xr3:uid="{42786CC8-8294-4E31-B72E-4CC61D4E974D}" name="Sale Processor" dataDxfId="0">
      <calculatedColumnFormula>Stock[[#This Row],[PROCESSOR]]</calculatedColumnFormula>
    </tableColumn>
    <tableColumn id="25" xr3:uid="{E0851762-64E4-4E47-9B12-BA469D017701}" name="Sale Quantity" dataDxfId="3"/>
    <tableColumn id="26" xr3:uid="{D452978D-A7E0-43CB-A7D3-41CDE1AB38A8}" name="Sale Barcode" dataDxfId="2">
      <calculatedColumnFormula>Stock[[#This Row],[BARCODE]]</calculatedColumnFormula>
    </tableColumn>
  </tableColumns>
  <tableStyleInfo name="TableStyleMedium2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D7AB5E-A71B-4016-88DF-81A5C53CDFE9}" name="Table2" displayName="Table2" ref="A1:B7" totalsRowShown="0">
  <autoFilter ref="A1:B7" xr:uid="{34D7AB5E-A71B-4016-88DF-81A5C53CDFE9}"/>
  <tableColumns count="2">
    <tableColumn id="1" xr3:uid="{A2C1B2DC-F09F-49CF-80D1-EC3A726597B9}" name="Standard"/>
    <tableColumn id="2" xr3:uid="{C6ED7122-02D6-44A3-B55F-2A1A4830BBC2}" name="Fill Out"/>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7B8903-2BE6-4D59-BC9F-EE6CB737BE76}" name="Table1" displayName="Table1" ref="A1:E5" totalsRowShown="0">
  <autoFilter ref="A1:E5" xr:uid="{E57B8903-2BE6-4D59-BC9F-EE6CB737BE76}"/>
  <tableColumns count="5">
    <tableColumn id="1" xr3:uid="{B15E6381-3739-4E4B-82C1-842884A4D90A}" name="Date" dataDxfId="41">
      <calculatedColumnFormula>TODAY()</calculatedColumnFormula>
    </tableColumn>
    <tableColumn id="2" xr3:uid="{8B8B36BD-086A-419C-BA48-80AB56CE94A6}" name="Invoice Number" dataDxfId="40"/>
    <tableColumn id="3" xr3:uid="{20D8923E-CA13-404F-A2E9-D5722E4D98D3}" name="Model" dataDxfId="39"/>
    <tableColumn id="4" xr3:uid="{ED0E0C13-BA69-4142-823D-1DDC3A753E33}" name="Quantity" dataDxfId="38"/>
    <tableColumn id="5" xr3:uid="{F96AB006-6535-4B4D-A6D7-1A34F9308D41}" name="Barcode" dataDxfId="37">
      <calculatedColumnFormula>CONCATENATE(C2,"")</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050AA88-3F59-4450-8C48-4B340944CD84}" name="Table3" displayName="Table3" ref="A1:F2" insertRow="1" totalsRowShown="0">
  <autoFilter ref="A1:F2" xr:uid="{B050AA88-3F59-4450-8C48-4B340944CD84}"/>
  <tableColumns count="6">
    <tableColumn id="1" xr3:uid="{A088BC6C-6CE7-44EB-A8D7-A1A591371A03}" name="Model" dataDxfId="36"/>
    <tableColumn id="4" xr3:uid="{05DDC4D2-F623-4DA4-BFAB-FBBADB404A97}" name="Processor" dataDxfId="35"/>
    <tableColumn id="2" xr3:uid="{A28DB31E-DCDB-4492-9EFF-F235529D9DC3}" name="Barcode" dataDxfId="34">
      <calculatedColumnFormula>CONCATENATE(Table3[[#This Row],[Model]],"")</calculatedColumnFormula>
    </tableColumn>
    <tableColumn id="6" xr3:uid="{DCB0468B-BB89-43DD-BFF3-17C8FB587300}" name="Column2"/>
    <tableColumn id="7" xr3:uid="{76D1E8C9-0AFD-411D-8793-D83022D13A10}" name="Column3"/>
    <tableColumn id="3" xr3:uid="{59623C61-0876-4ECF-9BF2-4724DD3C8544}" name="Quantity" dataDxfId="33">
      <calculatedColumnFormula>SUMIF('Import Data'!$G:$G,Table3[[#This Row],[Barcode]],'Import Data'!$P:$P) - SUMIF(Sale!$C:$C,Table3[[#This Row],[Barcode]],Sale!D:D)</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4.xml"/><Relationship Id="rId4"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5D988-13B6-4E35-AA36-0DEAE092C462}">
  <sheetPr codeName="Sheet6"/>
  <dimension ref="A1"/>
  <sheetViews>
    <sheetView workbookViewId="0"/>
  </sheetViews>
  <sheetFormatPr defaultRowHeight="14.4" x14ac:dyDescent="0.3"/>
  <cols>
    <col min="1" max="1" width="10.88671875" bestFit="1" customWidth="1"/>
    <col min="2" max="2" width="10.5546875" bestFit="1" customWidth="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_xludf.Insert">
                <anchor>
                  <from>
                    <xdr:col>24</xdr:col>
                    <xdr:colOff>281940</xdr:colOff>
                    <xdr:row>4</xdr:row>
                    <xdr:rowOff>45720</xdr:rowOff>
                  </from>
                  <to>
                    <xdr:col>26</xdr:col>
                    <xdr:colOff>60960</xdr:colOff>
                    <xdr:row>6</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5FD00-702D-4A61-813D-BB09041ECA65}">
  <sheetPr codeName="Sheet1"/>
  <dimension ref="A1:AA14"/>
  <sheetViews>
    <sheetView topLeftCell="E1" workbookViewId="0">
      <selection activeCell="Z6" sqref="Z6"/>
    </sheetView>
  </sheetViews>
  <sheetFormatPr defaultRowHeight="64.2" x14ac:dyDescent="2.5"/>
  <cols>
    <col min="1" max="1" width="15.77734375" bestFit="1" customWidth="1"/>
    <col min="2" max="2" width="10.5546875" bestFit="1" customWidth="1"/>
    <col min="3" max="3" width="15" customWidth="1"/>
    <col min="4" max="4" width="14.33203125" customWidth="1"/>
    <col min="5" max="5" width="23.109375" bestFit="1" customWidth="1"/>
    <col min="6" max="6" width="11.21875" customWidth="1"/>
    <col min="7" max="7" width="17.6640625" customWidth="1"/>
    <col min="8" max="8" width="15.6640625" customWidth="1"/>
    <col min="9" max="9" width="9.5546875" customWidth="1"/>
    <col min="12" max="12" width="15.44140625" customWidth="1"/>
    <col min="13" max="13" width="13.88671875" customWidth="1"/>
    <col min="14" max="14" width="15.77734375" customWidth="1"/>
    <col min="15" max="15" width="16.88671875" customWidth="1"/>
    <col min="17" max="17" width="15.33203125" customWidth="1"/>
    <col min="18" max="18" width="14.21875" customWidth="1"/>
    <col min="19" max="19" width="10.44140625" customWidth="1"/>
    <col min="20" max="20" width="47.77734375" bestFit="1" customWidth="1"/>
    <col min="21" max="21" width="21.109375" hidden="1" customWidth="1"/>
    <col min="22" max="22" width="15.5546875" bestFit="1" customWidth="1"/>
    <col min="23" max="23" width="22.5546875" bestFit="1" customWidth="1"/>
    <col min="24" max="24" width="15.77734375" bestFit="1" customWidth="1"/>
    <col min="25" max="25" width="15.77734375" customWidth="1"/>
    <col min="26" max="26" width="14.77734375" bestFit="1" customWidth="1"/>
    <col min="27" max="27" width="43.88671875" style="24" bestFit="1" customWidth="1"/>
  </cols>
  <sheetData>
    <row r="1" spans="1:27" ht="23.4" x14ac:dyDescent="0.3">
      <c r="A1" s="7" t="s">
        <v>0</v>
      </c>
      <c r="B1" s="6" t="s">
        <v>1</v>
      </c>
      <c r="C1" s="6" t="s">
        <v>2</v>
      </c>
      <c r="D1" s="6" t="s">
        <v>3</v>
      </c>
      <c r="E1" s="8" t="s">
        <v>4</v>
      </c>
      <c r="F1" s="8" t="s">
        <v>5</v>
      </c>
      <c r="G1" s="8" t="s">
        <v>6</v>
      </c>
      <c r="H1" s="6" t="s">
        <v>7</v>
      </c>
      <c r="I1" s="6" t="s">
        <v>8</v>
      </c>
      <c r="J1" s="6" t="s">
        <v>9</v>
      </c>
      <c r="K1" s="6" t="s">
        <v>10</v>
      </c>
      <c r="L1" s="6" t="s">
        <v>11</v>
      </c>
      <c r="M1" s="6" t="s">
        <v>12</v>
      </c>
      <c r="N1" s="6" t="s">
        <v>13</v>
      </c>
      <c r="O1" s="6" t="s">
        <v>14</v>
      </c>
      <c r="P1" s="6" t="s">
        <v>15</v>
      </c>
      <c r="Q1" s="6" t="s">
        <v>16</v>
      </c>
      <c r="R1" s="6" t="s">
        <v>17</v>
      </c>
      <c r="S1" s="6" t="s">
        <v>18</v>
      </c>
      <c r="T1" s="6" t="s">
        <v>19</v>
      </c>
      <c r="U1" s="6" t="s">
        <v>63</v>
      </c>
      <c r="V1" s="6" t="s">
        <v>64</v>
      </c>
      <c r="W1" s="6" t="s">
        <v>65</v>
      </c>
      <c r="X1" s="6" t="s">
        <v>59</v>
      </c>
      <c r="Y1" s="6" t="s">
        <v>60</v>
      </c>
      <c r="Z1" s="6" t="s">
        <v>61</v>
      </c>
      <c r="AA1" s="23" t="s">
        <v>62</v>
      </c>
    </row>
    <row r="2" spans="1:27" x14ac:dyDescent="2.5">
      <c r="A2" s="9">
        <v>23187</v>
      </c>
      <c r="B2" s="10">
        <v>45090</v>
      </c>
      <c r="C2" s="11" t="s">
        <v>21</v>
      </c>
      <c r="D2" s="11">
        <v>21489</v>
      </c>
      <c r="E2" s="11" t="s">
        <v>27</v>
      </c>
      <c r="F2" s="11" t="s">
        <v>28</v>
      </c>
      <c r="G2" s="12" t="s">
        <v>29</v>
      </c>
      <c r="H2" s="13" t="s">
        <v>30</v>
      </c>
      <c r="I2" s="11"/>
      <c r="J2" s="11" t="s">
        <v>31</v>
      </c>
      <c r="K2" s="11" t="s">
        <v>32</v>
      </c>
      <c r="L2" s="11"/>
      <c r="M2" s="11"/>
      <c r="N2" s="11"/>
      <c r="O2" s="11"/>
      <c r="P2" s="14">
        <v>1</v>
      </c>
      <c r="Q2" s="11"/>
      <c r="R2" s="11">
        <v>2</v>
      </c>
      <c r="S2" s="11"/>
      <c r="T2" s="15" t="str">
        <f>_xlfn.TEXTJOIN("_",TRUE,Stock[[#This Row],[MODEL]],Stock[[#This Row],[PROCESSOR]])</f>
        <v>OPTIPLEX 7050_I7-7TH GEN</v>
      </c>
      <c r="U2" s="14">
        <f>Stock[[#This Row],[QTY]]-Stock[[#This Row],[Sale Quantity]]</f>
        <v>-39</v>
      </c>
      <c r="V2" s="14">
        <v>45170</v>
      </c>
      <c r="W2" s="14" t="s">
        <v>56</v>
      </c>
      <c r="X2" s="14" t="str">
        <f>'Import Data'!$G2</f>
        <v>OPTIPLEX 7050</v>
      </c>
      <c r="Y2" s="14" t="str">
        <f>Stock[[#This Row],[PROCESSOR]]</f>
        <v>I7-7TH GEN</v>
      </c>
      <c r="Z2" s="14">
        <v>40</v>
      </c>
      <c r="AA2" s="25" t="str">
        <f>Stock[[#This Row],[BARCODE]]</f>
        <v>OPTIPLEX 7050_I7-7TH GEN</v>
      </c>
    </row>
    <row r="3" spans="1:27" x14ac:dyDescent="2.5">
      <c r="A3" s="9">
        <v>23187</v>
      </c>
      <c r="B3" s="10"/>
      <c r="C3" s="11"/>
      <c r="D3" s="11">
        <v>23187</v>
      </c>
      <c r="E3" s="11">
        <v>45090</v>
      </c>
      <c r="F3" s="11" t="s">
        <v>21</v>
      </c>
      <c r="G3" s="12"/>
      <c r="H3" s="13" t="s">
        <v>22</v>
      </c>
      <c r="I3" s="11" t="s">
        <v>20</v>
      </c>
      <c r="J3" s="11" t="s">
        <v>23</v>
      </c>
      <c r="K3" s="11" t="s">
        <v>24</v>
      </c>
      <c r="L3" s="11"/>
      <c r="M3" s="11" t="s">
        <v>25</v>
      </c>
      <c r="N3" s="11" t="s">
        <v>26</v>
      </c>
      <c r="O3" s="11"/>
      <c r="P3" s="14"/>
      <c r="Q3" s="11"/>
      <c r="R3" s="11"/>
      <c r="S3" s="11">
        <v>1</v>
      </c>
      <c r="T3" s="15" t="str">
        <f>_xlfn.TEXTJOIN("_",TRUE,Stock[[#This Row],[MODEL]],Stock[[#This Row],[PROCESSOR]])</f>
        <v>AUD9420B7F</v>
      </c>
      <c r="U3" s="14">
        <f>Stock[[#This Row],[QTY]]-Stock[[#This Row],[Sale Quantity]]</f>
        <v>0</v>
      </c>
      <c r="V3" s="10"/>
      <c r="W3" s="14"/>
      <c r="X3" s="14">
        <f>'Import Data'!$G3</f>
        <v>0</v>
      </c>
      <c r="Y3" s="14" t="str">
        <f>Stock[[#This Row],[PROCESSOR]]</f>
        <v>AUD9420B7F</v>
      </c>
      <c r="Z3" s="14"/>
      <c r="AA3" s="25" t="str">
        <f>Stock[[#This Row],[BARCODE]]</f>
        <v>AUD9420B7F</v>
      </c>
    </row>
    <row r="4" spans="1:27" x14ac:dyDescent="2.5">
      <c r="A4" s="9">
        <v>23187</v>
      </c>
      <c r="B4" s="10"/>
      <c r="C4" s="11"/>
      <c r="D4" s="11">
        <v>23187</v>
      </c>
      <c r="E4" s="11">
        <v>45090</v>
      </c>
      <c r="F4" s="11" t="s">
        <v>21</v>
      </c>
      <c r="G4" s="12"/>
      <c r="H4" s="13" t="s">
        <v>27</v>
      </c>
      <c r="I4" s="11" t="s">
        <v>28</v>
      </c>
      <c r="J4" s="11" t="s">
        <v>29</v>
      </c>
      <c r="K4" s="11" t="s">
        <v>30</v>
      </c>
      <c r="L4" s="11"/>
      <c r="M4" s="11" t="s">
        <v>31</v>
      </c>
      <c r="N4" s="11" t="s">
        <v>32</v>
      </c>
      <c r="O4" s="11"/>
      <c r="P4" s="14"/>
      <c r="Q4" s="11"/>
      <c r="R4" s="11"/>
      <c r="S4" s="11">
        <v>1</v>
      </c>
      <c r="T4" s="15" t="str">
        <f>_xlfn.TEXTJOIN("_",TRUE,Stock[[#This Row],[MODEL]],Stock[[#This Row],[PROCESSOR]])</f>
        <v>6VBDMP2</v>
      </c>
      <c r="U4" s="14">
        <f>Stock[[#This Row],[QTY]]-Stock[[#This Row],[Sale Quantity]]</f>
        <v>0</v>
      </c>
      <c r="V4" s="10"/>
      <c r="W4" s="14"/>
      <c r="X4" s="14">
        <f>'Import Data'!$G4</f>
        <v>0</v>
      </c>
      <c r="Y4" s="14" t="str">
        <f>Stock[[#This Row],[PROCESSOR]]</f>
        <v>6VBDMP2</v>
      </c>
      <c r="Z4" s="14"/>
      <c r="AA4" s="25" t="str">
        <f>Stock[[#This Row],[BARCODE]]</f>
        <v>6VBDMP2</v>
      </c>
    </row>
    <row r="5" spans="1:27" x14ac:dyDescent="2.5">
      <c r="A5" s="9">
        <v>23187</v>
      </c>
      <c r="B5" s="10"/>
      <c r="C5" s="11"/>
      <c r="D5" s="11">
        <v>23187</v>
      </c>
      <c r="E5" s="11">
        <v>45090</v>
      </c>
      <c r="F5" s="11" t="s">
        <v>21</v>
      </c>
      <c r="G5" s="12"/>
      <c r="H5" s="13" t="s">
        <v>33</v>
      </c>
      <c r="I5" s="11" t="s">
        <v>28</v>
      </c>
      <c r="J5" s="11" t="s">
        <v>29</v>
      </c>
      <c r="K5" s="11" t="s">
        <v>34</v>
      </c>
      <c r="L5" s="11"/>
      <c r="M5" s="11" t="s">
        <v>25</v>
      </c>
      <c r="N5" s="11" t="s">
        <v>35</v>
      </c>
      <c r="O5" s="11"/>
      <c r="P5" s="14"/>
      <c r="Q5" s="11"/>
      <c r="R5" s="11"/>
      <c r="S5" s="11">
        <v>1</v>
      </c>
      <c r="T5" s="15" t="str">
        <f>_xlfn.TEXTJOIN("_",TRUE,Stock[[#This Row],[MODEL]],Stock[[#This Row],[PROCESSOR]])</f>
        <v>6W5FMP2</v>
      </c>
      <c r="U5" s="14">
        <f>Stock[[#This Row],[QTY]]-Stock[[#This Row],[Sale Quantity]]</f>
        <v>0</v>
      </c>
      <c r="V5" s="10"/>
      <c r="W5" s="14"/>
      <c r="X5" s="14">
        <f>'Import Data'!$G5</f>
        <v>0</v>
      </c>
      <c r="Y5" s="14" t="str">
        <f>Stock[[#This Row],[PROCESSOR]]</f>
        <v>6W5FMP2</v>
      </c>
      <c r="Z5" s="14"/>
      <c r="AA5" s="25" t="str">
        <f>Stock[[#This Row],[BARCODE]]</f>
        <v>6W5FMP2</v>
      </c>
    </row>
    <row r="6" spans="1:27" x14ac:dyDescent="2.5">
      <c r="A6" s="9">
        <v>23187</v>
      </c>
      <c r="B6" s="10"/>
      <c r="C6" s="11"/>
      <c r="D6" s="11">
        <v>23187</v>
      </c>
      <c r="E6" s="11">
        <v>45090</v>
      </c>
      <c r="F6" s="11" t="s">
        <v>21</v>
      </c>
      <c r="G6" s="12"/>
      <c r="H6" s="13" t="s">
        <v>36</v>
      </c>
      <c r="I6" s="11" t="s">
        <v>28</v>
      </c>
      <c r="J6" s="11" t="s">
        <v>37</v>
      </c>
      <c r="K6" s="11" t="s">
        <v>38</v>
      </c>
      <c r="L6" s="11"/>
      <c r="M6" s="11" t="s">
        <v>25</v>
      </c>
      <c r="N6" s="11" t="s">
        <v>39</v>
      </c>
      <c r="O6" s="11"/>
      <c r="P6" s="14"/>
      <c r="Q6" s="11"/>
      <c r="R6" s="11"/>
      <c r="S6" s="11">
        <v>1</v>
      </c>
      <c r="T6" s="15" t="str">
        <f>_xlfn.TEXTJOIN("_",TRUE,Stock[[#This Row],[MODEL]],Stock[[#This Row],[PROCESSOR]])</f>
        <v>JJDR6Z2</v>
      </c>
      <c r="U6" s="14">
        <f>Stock[[#This Row],[QTY]]-Stock[[#This Row],[Sale Quantity]]</f>
        <v>0</v>
      </c>
      <c r="V6" s="10"/>
      <c r="W6" s="14"/>
      <c r="X6" s="14">
        <f>'Import Data'!$G6</f>
        <v>0</v>
      </c>
      <c r="Y6" s="14" t="str">
        <f>Stock[[#This Row],[PROCESSOR]]</f>
        <v>JJDR6Z2</v>
      </c>
      <c r="Z6" s="14"/>
      <c r="AA6" s="25" t="str">
        <f>Stock[[#This Row],[BARCODE]]</f>
        <v>JJDR6Z2</v>
      </c>
    </row>
    <row r="7" spans="1:27" x14ac:dyDescent="2.5">
      <c r="A7" s="9">
        <v>23187</v>
      </c>
      <c r="B7" s="10"/>
      <c r="C7" s="11"/>
      <c r="D7" s="11">
        <v>23187</v>
      </c>
      <c r="E7" s="11">
        <v>45090</v>
      </c>
      <c r="F7" s="11" t="s">
        <v>21</v>
      </c>
      <c r="G7" s="12"/>
      <c r="H7" s="13" t="s">
        <v>40</v>
      </c>
      <c r="I7" s="11" t="s">
        <v>20</v>
      </c>
      <c r="J7" s="11" t="s">
        <v>41</v>
      </c>
      <c r="K7" s="11" t="s">
        <v>24</v>
      </c>
      <c r="L7" s="11"/>
      <c r="M7" s="11" t="s">
        <v>25</v>
      </c>
      <c r="N7" s="11" t="s">
        <v>35</v>
      </c>
      <c r="O7" s="11"/>
      <c r="P7" s="14"/>
      <c r="Q7" s="11"/>
      <c r="R7" s="11"/>
      <c r="S7" s="11">
        <v>1</v>
      </c>
      <c r="T7" s="15" t="str">
        <f>_xlfn.TEXTJOIN("_",TRUE,Stock[[#This Row],[MODEL]],Stock[[#This Row],[PROCESSOR]])</f>
        <v>AUD8060FFR</v>
      </c>
      <c r="U7" s="14">
        <f>Stock[[#This Row],[QTY]]-Stock[[#This Row],[Sale Quantity]]</f>
        <v>0</v>
      </c>
      <c r="V7" s="10"/>
      <c r="W7" s="14"/>
      <c r="X7" s="14">
        <f>'Import Data'!$G7</f>
        <v>0</v>
      </c>
      <c r="Y7" s="14" t="str">
        <f>Stock[[#This Row],[PROCESSOR]]</f>
        <v>AUD8060FFR</v>
      </c>
      <c r="Z7" s="14"/>
      <c r="AA7" s="25" t="str">
        <f>Stock[[#This Row],[BARCODE]]</f>
        <v>AUD8060FFR</v>
      </c>
    </row>
    <row r="8" spans="1:27" x14ac:dyDescent="2.5">
      <c r="A8" s="9">
        <v>23187</v>
      </c>
      <c r="B8" s="17"/>
      <c r="C8" s="18"/>
      <c r="D8" s="18">
        <v>23187</v>
      </c>
      <c r="E8" s="18">
        <v>45090</v>
      </c>
      <c r="F8" s="18" t="s">
        <v>21</v>
      </c>
      <c r="G8" s="20"/>
      <c r="H8" s="21" t="s">
        <v>42</v>
      </c>
      <c r="I8" s="18" t="s">
        <v>20</v>
      </c>
      <c r="J8" s="18" t="s">
        <v>41</v>
      </c>
      <c r="K8" s="18" t="s">
        <v>24</v>
      </c>
      <c r="L8" s="18"/>
      <c r="M8" s="18" t="s">
        <v>25</v>
      </c>
      <c r="N8" s="18" t="s">
        <v>35</v>
      </c>
      <c r="O8" s="18"/>
      <c r="P8" s="19"/>
      <c r="Q8" s="18"/>
      <c r="R8" s="18"/>
      <c r="S8" s="18">
        <v>1</v>
      </c>
      <c r="T8" s="22" t="str">
        <f>_xlfn.TEXTJOIN("_",TRUE,Stock[[#This Row],[MODEL]],Stock[[#This Row],[PROCESSOR]])</f>
        <v>AUD8230KW9</v>
      </c>
      <c r="U8" s="19">
        <f>Stock[[#This Row],[QTY]]-Stock[[#This Row],[Sale Quantity]]</f>
        <v>0</v>
      </c>
      <c r="V8" s="17"/>
      <c r="W8" s="19"/>
      <c r="X8" s="19">
        <f>'Import Data'!$G8</f>
        <v>0</v>
      </c>
      <c r="Y8" s="19" t="str">
        <f>Stock[[#This Row],[PROCESSOR]]</f>
        <v>AUD8230KW9</v>
      </c>
      <c r="Z8" s="19"/>
      <c r="AA8" s="26" t="str">
        <f>Stock[[#This Row],[BARCODE]]</f>
        <v>AUD8230KW9</v>
      </c>
    </row>
    <row r="9" spans="1:27" x14ac:dyDescent="2.5">
      <c r="A9" s="9">
        <v>23187</v>
      </c>
      <c r="B9" s="10">
        <v>45090</v>
      </c>
      <c r="C9" s="11" t="s">
        <v>21</v>
      </c>
      <c r="D9" s="11"/>
      <c r="E9" s="11" t="s">
        <v>22</v>
      </c>
      <c r="F9" s="11" t="s">
        <v>20</v>
      </c>
      <c r="G9" s="12" t="s">
        <v>23</v>
      </c>
      <c r="H9" s="13" t="s">
        <v>24</v>
      </c>
      <c r="I9" s="11"/>
      <c r="J9" s="11" t="s">
        <v>25</v>
      </c>
      <c r="K9" s="11" t="s">
        <v>26</v>
      </c>
      <c r="L9" s="11"/>
      <c r="M9" s="11"/>
      <c r="N9" s="11"/>
      <c r="O9" s="11"/>
      <c r="P9" s="14">
        <v>1</v>
      </c>
      <c r="Q9" s="11"/>
      <c r="R9" s="11">
        <v>2</v>
      </c>
      <c r="S9" s="11"/>
      <c r="T9" s="15" t="str">
        <f>_xlfn.TEXTJOIN("_",TRUE,Stock[[#This Row],[MODEL]],Stock[[#This Row],[PROCESSOR]])</f>
        <v>PRODESK 600 G5_I5-9TH GEN</v>
      </c>
      <c r="U9" s="27">
        <f>Stock[[#This Row],[QTY]]-Stock[[#This Row],[Sale Quantity]]</f>
        <v>1</v>
      </c>
      <c r="V9" s="10"/>
      <c r="W9" s="14"/>
      <c r="X9" s="14" t="str">
        <f>'Import Data'!$G9</f>
        <v>PRODESK 600 G5</v>
      </c>
      <c r="Y9" s="19" t="str">
        <f>Stock[[#This Row],[PROCESSOR]]</f>
        <v>I5-9TH GEN</v>
      </c>
      <c r="Z9" s="28"/>
      <c r="AA9" s="29" t="str">
        <f>Stock[[#This Row],[BARCODE]]</f>
        <v>PRODESK 600 G5_I5-9TH GEN</v>
      </c>
    </row>
    <row r="10" spans="1:27" x14ac:dyDescent="2.5">
      <c r="A10" s="9">
        <v>23187</v>
      </c>
      <c r="B10" s="10">
        <v>45090</v>
      </c>
      <c r="C10" s="11" t="s">
        <v>21</v>
      </c>
      <c r="D10" s="11"/>
      <c r="E10" s="11" t="s">
        <v>27</v>
      </c>
      <c r="F10" s="11" t="s">
        <v>28</v>
      </c>
      <c r="G10" s="12" t="s">
        <v>29</v>
      </c>
      <c r="H10" s="13" t="s">
        <v>30</v>
      </c>
      <c r="I10" s="11"/>
      <c r="J10" s="11" t="s">
        <v>31</v>
      </c>
      <c r="K10" s="11" t="s">
        <v>32</v>
      </c>
      <c r="L10" s="11"/>
      <c r="M10" s="11"/>
      <c r="N10" s="11"/>
      <c r="O10" s="11"/>
      <c r="P10" s="14">
        <v>1</v>
      </c>
      <c r="Q10" s="11"/>
      <c r="R10" s="11">
        <v>2</v>
      </c>
      <c r="S10" s="11"/>
      <c r="T10" s="15" t="str">
        <f>_xlfn.TEXTJOIN("_",TRUE,Stock[[#This Row],[MODEL]],Stock[[#This Row],[PROCESSOR]])</f>
        <v>OPTIPLEX 7050_I7-7TH GEN</v>
      </c>
      <c r="U10" s="27">
        <f>Stock[[#This Row],[QTY]]-Stock[[#This Row],[Sale Quantity]]</f>
        <v>1</v>
      </c>
      <c r="V10" s="10"/>
      <c r="W10" s="14"/>
      <c r="X10" s="14" t="str">
        <f>'Import Data'!$G10</f>
        <v>OPTIPLEX 7050</v>
      </c>
      <c r="Y10" s="19" t="str">
        <f>Stock[[#This Row],[PROCESSOR]]</f>
        <v>I7-7TH GEN</v>
      </c>
      <c r="Z10" s="28"/>
      <c r="AA10" s="29" t="str">
        <f>Stock[[#This Row],[BARCODE]]</f>
        <v>OPTIPLEX 7050_I7-7TH GEN</v>
      </c>
    </row>
    <row r="11" spans="1:27" x14ac:dyDescent="2.5">
      <c r="A11" s="9">
        <v>23187</v>
      </c>
      <c r="B11" s="10">
        <v>45090</v>
      </c>
      <c r="C11" s="11" t="s">
        <v>21</v>
      </c>
      <c r="D11" s="11"/>
      <c r="E11" s="11" t="s">
        <v>33</v>
      </c>
      <c r="F11" s="11" t="s">
        <v>28</v>
      </c>
      <c r="G11" s="12" t="s">
        <v>29</v>
      </c>
      <c r="H11" s="13" t="s">
        <v>34</v>
      </c>
      <c r="I11" s="11"/>
      <c r="J11" s="11" t="s">
        <v>25</v>
      </c>
      <c r="K11" s="11" t="s">
        <v>35</v>
      </c>
      <c r="L11" s="11"/>
      <c r="M11" s="11"/>
      <c r="N11" s="11"/>
      <c r="O11" s="11"/>
      <c r="P11" s="14">
        <v>1</v>
      </c>
      <c r="Q11" s="11"/>
      <c r="R11" s="11">
        <v>2</v>
      </c>
      <c r="S11" s="11"/>
      <c r="T11" s="15" t="str">
        <f>_xlfn.TEXTJOIN("_",TRUE,Stock[[#This Row],[MODEL]],Stock[[#This Row],[PROCESSOR]])</f>
        <v>OPTIPLEX 7050_I5-7TH GEN</v>
      </c>
      <c r="U11" s="27">
        <f>Stock[[#This Row],[QTY]]-Stock[[#This Row],[Sale Quantity]]</f>
        <v>1</v>
      </c>
      <c r="V11" s="10"/>
      <c r="W11" s="14"/>
      <c r="X11" s="14" t="str">
        <f>'Import Data'!$G11</f>
        <v>OPTIPLEX 7050</v>
      </c>
      <c r="Y11" s="19" t="str">
        <f>Stock[[#This Row],[PROCESSOR]]</f>
        <v>I5-7TH GEN</v>
      </c>
      <c r="Z11" s="28"/>
      <c r="AA11" s="29" t="str">
        <f>Stock[[#This Row],[BARCODE]]</f>
        <v>OPTIPLEX 7050_I5-7TH GEN</v>
      </c>
    </row>
    <row r="12" spans="1:27" x14ac:dyDescent="2.5">
      <c r="A12" s="9">
        <v>23187</v>
      </c>
      <c r="B12" s="10">
        <v>45090</v>
      </c>
      <c r="C12" s="11" t="s">
        <v>21</v>
      </c>
      <c r="D12" s="11"/>
      <c r="E12" s="11" t="s">
        <v>36</v>
      </c>
      <c r="F12" s="11" t="s">
        <v>28</v>
      </c>
      <c r="G12" s="12" t="s">
        <v>37</v>
      </c>
      <c r="H12" s="13" t="s">
        <v>38</v>
      </c>
      <c r="I12" s="11"/>
      <c r="J12" s="11" t="s">
        <v>25</v>
      </c>
      <c r="K12" s="11" t="s">
        <v>39</v>
      </c>
      <c r="L12" s="11"/>
      <c r="M12" s="11"/>
      <c r="N12" s="11"/>
      <c r="O12" s="11"/>
      <c r="P12" s="14">
        <v>1</v>
      </c>
      <c r="Q12" s="11"/>
      <c r="R12" s="11">
        <v>2</v>
      </c>
      <c r="S12" s="11"/>
      <c r="T12" s="15" t="str">
        <f>_xlfn.TEXTJOIN("_",TRUE,Stock[[#This Row],[MODEL]],Stock[[#This Row],[PROCESSOR]])</f>
        <v>OPTIPLEX 3060_I3-8TH GEN</v>
      </c>
      <c r="U12" s="27">
        <f>Stock[[#This Row],[QTY]]-Stock[[#This Row],[Sale Quantity]]</f>
        <v>1</v>
      </c>
      <c r="V12" s="10"/>
      <c r="W12" s="14"/>
      <c r="X12" s="14" t="str">
        <f>'Import Data'!$G12</f>
        <v>OPTIPLEX 3060</v>
      </c>
      <c r="Y12" s="19" t="str">
        <f>Stock[[#This Row],[PROCESSOR]]</f>
        <v>I3-8TH GEN</v>
      </c>
      <c r="Z12" s="28"/>
      <c r="AA12" s="29" t="str">
        <f>Stock[[#This Row],[BARCODE]]</f>
        <v>OPTIPLEX 3060_I3-8TH GEN</v>
      </c>
    </row>
    <row r="13" spans="1:27" x14ac:dyDescent="2.5">
      <c r="A13" s="9">
        <v>23187</v>
      </c>
      <c r="B13" s="10">
        <v>45090</v>
      </c>
      <c r="C13" s="11" t="s">
        <v>21</v>
      </c>
      <c r="D13" s="11"/>
      <c r="E13" s="11" t="s">
        <v>40</v>
      </c>
      <c r="F13" s="11" t="s">
        <v>20</v>
      </c>
      <c r="G13" s="12" t="s">
        <v>41</v>
      </c>
      <c r="H13" s="13" t="s">
        <v>24</v>
      </c>
      <c r="I13" s="11"/>
      <c r="J13" s="11" t="s">
        <v>25</v>
      </c>
      <c r="K13" s="11" t="s">
        <v>35</v>
      </c>
      <c r="L13" s="11"/>
      <c r="M13" s="11"/>
      <c r="N13" s="11"/>
      <c r="O13" s="11"/>
      <c r="P13" s="14">
        <v>1</v>
      </c>
      <c r="Q13" s="11"/>
      <c r="R13" s="11">
        <v>2</v>
      </c>
      <c r="S13" s="11"/>
      <c r="T13" s="15" t="str">
        <f>_xlfn.TEXTJOIN("_",TRUE,Stock[[#This Row],[MODEL]],Stock[[#This Row],[PROCESSOR]])</f>
        <v>ELITEDESK 800 G5_I5-9TH GEN</v>
      </c>
      <c r="U13" s="27">
        <f>Stock[[#This Row],[QTY]]-Stock[[#This Row],[Sale Quantity]]</f>
        <v>1</v>
      </c>
      <c r="V13" s="10"/>
      <c r="W13" s="14"/>
      <c r="X13" s="14" t="str">
        <f>'Import Data'!$G13</f>
        <v>ELITEDESK 800 G5</v>
      </c>
      <c r="Y13" s="19" t="str">
        <f>Stock[[#This Row],[PROCESSOR]]</f>
        <v>I5-9TH GEN</v>
      </c>
      <c r="Z13" s="28"/>
      <c r="AA13" s="29" t="str">
        <f>Stock[[#This Row],[BARCODE]]</f>
        <v>ELITEDESK 800 G5_I5-9TH GEN</v>
      </c>
    </row>
    <row r="14" spans="1:27" x14ac:dyDescent="2.5">
      <c r="A14" s="16">
        <v>23187</v>
      </c>
      <c r="B14" s="17">
        <v>45090</v>
      </c>
      <c r="C14" s="18" t="s">
        <v>21</v>
      </c>
      <c r="D14" s="18"/>
      <c r="E14" s="18" t="s">
        <v>42</v>
      </c>
      <c r="F14" s="18" t="s">
        <v>20</v>
      </c>
      <c r="G14" s="20" t="s">
        <v>41</v>
      </c>
      <c r="H14" s="21" t="s">
        <v>24</v>
      </c>
      <c r="I14" s="18"/>
      <c r="J14" s="18" t="s">
        <v>25</v>
      </c>
      <c r="K14" s="18" t="s">
        <v>35</v>
      </c>
      <c r="L14" s="18"/>
      <c r="M14" s="18"/>
      <c r="N14" s="18"/>
      <c r="O14" s="18"/>
      <c r="P14" s="19">
        <v>1</v>
      </c>
      <c r="Q14" s="18"/>
      <c r="R14" s="18">
        <v>2</v>
      </c>
      <c r="S14" s="18"/>
      <c r="T14" s="22" t="str">
        <f>_xlfn.TEXTJOIN("_",TRUE,Stock[[#This Row],[MODEL]],Stock[[#This Row],[PROCESSOR]])</f>
        <v>ELITEDESK 800 G5_I5-9TH GEN</v>
      </c>
      <c r="U14" s="30">
        <f>Stock[[#This Row],[QTY]]-Stock[[#This Row],[Sale Quantity]]</f>
        <v>1</v>
      </c>
      <c r="V14" s="17"/>
      <c r="W14" s="19"/>
      <c r="X14" s="19" t="str">
        <f>'Import Data'!$G14</f>
        <v>ELITEDESK 800 G5</v>
      </c>
      <c r="Y14" s="19" t="str">
        <f>Stock[[#This Row],[PROCESSOR]]</f>
        <v>I5-9TH GEN</v>
      </c>
      <c r="Z14" s="28"/>
      <c r="AA14" s="29" t="str">
        <f>Stock[[#This Row],[BARCODE]]</f>
        <v>ELITEDESK 800 G5_I5-9TH GEN</v>
      </c>
    </row>
  </sheetData>
  <phoneticPr fontId="6" type="noConversion"/>
  <conditionalFormatting sqref="E1">
    <cfRule type="duplicateValues" dxfId="5" priority="55"/>
  </conditionalFormatting>
  <conditionalFormatting sqref="E2:E14">
    <cfRule type="duplicateValues" dxfId="4" priority="59"/>
  </conditionalFormatting>
  <conditionalFormatting sqref="E9:E14">
    <cfRule type="duplicateValues" dxfId="1" priority="1"/>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9ABCF-86B9-4CAE-9421-1F983AF83880}">
  <sheetPr codeName="Sheet8"/>
  <dimension ref="A1:E51"/>
  <sheetViews>
    <sheetView tabSelected="1" workbookViewId="0">
      <selection activeCell="J4" sqref="J4"/>
    </sheetView>
  </sheetViews>
  <sheetFormatPr defaultRowHeight="14.4" x14ac:dyDescent="0.3"/>
  <cols>
    <col min="1" max="1" width="45.5546875" bestFit="1" customWidth="1"/>
    <col min="2" max="2" width="43.44140625" bestFit="1" customWidth="1"/>
    <col min="3" max="3" width="47.77734375" bestFit="1" customWidth="1"/>
    <col min="4" max="4" width="10.44140625" bestFit="1" customWidth="1"/>
    <col min="5" max="5" width="20.109375" bestFit="1" customWidth="1"/>
  </cols>
  <sheetData>
    <row r="1" spans="1:5" x14ac:dyDescent="0.3">
      <c r="D1" s="2" t="s">
        <v>58</v>
      </c>
    </row>
    <row r="2" spans="1:5" x14ac:dyDescent="0.3">
      <c r="A2" s="2" t="s">
        <v>6</v>
      </c>
      <c r="B2" s="2" t="s">
        <v>7</v>
      </c>
      <c r="C2" s="2" t="s">
        <v>19</v>
      </c>
      <c r="D2" t="s">
        <v>53</v>
      </c>
      <c r="E2" t="s">
        <v>70</v>
      </c>
    </row>
    <row r="3" spans="1:5" ht="64.2" x14ac:dyDescent="2.5">
      <c r="A3" t="s">
        <v>29</v>
      </c>
      <c r="B3" t="s">
        <v>30</v>
      </c>
      <c r="C3" s="1" t="s">
        <v>57</v>
      </c>
      <c r="D3" s="5">
        <v>2</v>
      </c>
      <c r="E3" s="5">
        <v>-38</v>
      </c>
    </row>
    <row r="4" spans="1:5" ht="64.2" x14ac:dyDescent="2.5">
      <c r="A4" t="s">
        <v>29</v>
      </c>
      <c r="B4" t="s">
        <v>34</v>
      </c>
      <c r="C4" s="1" t="s">
        <v>66</v>
      </c>
      <c r="D4" s="5">
        <v>1</v>
      </c>
      <c r="E4" s="5">
        <v>1</v>
      </c>
    </row>
    <row r="5" spans="1:5" ht="64.2" x14ac:dyDescent="2.5">
      <c r="A5" t="s">
        <v>50</v>
      </c>
      <c r="B5" t="s">
        <v>22</v>
      </c>
      <c r="C5" s="1" t="s">
        <v>22</v>
      </c>
      <c r="D5" s="5"/>
      <c r="E5" s="5">
        <v>0</v>
      </c>
    </row>
    <row r="6" spans="1:5" ht="64.2" x14ac:dyDescent="2.5">
      <c r="A6" t="s">
        <v>50</v>
      </c>
      <c r="B6" t="s">
        <v>27</v>
      </c>
      <c r="C6" s="1" t="s">
        <v>27</v>
      </c>
      <c r="D6" s="5"/>
      <c r="E6" s="5">
        <v>0</v>
      </c>
    </row>
    <row r="7" spans="1:5" ht="64.2" x14ac:dyDescent="2.5">
      <c r="A7" t="s">
        <v>50</v>
      </c>
      <c r="B7" t="s">
        <v>33</v>
      </c>
      <c r="C7" s="1" t="s">
        <v>33</v>
      </c>
      <c r="D7" s="5"/>
      <c r="E7" s="5">
        <v>0</v>
      </c>
    </row>
    <row r="8" spans="1:5" ht="64.2" x14ac:dyDescent="2.5">
      <c r="A8" t="s">
        <v>50</v>
      </c>
      <c r="B8" t="s">
        <v>36</v>
      </c>
      <c r="C8" s="1" t="s">
        <v>36</v>
      </c>
      <c r="D8" s="5"/>
      <c r="E8" s="5">
        <v>0</v>
      </c>
    </row>
    <row r="9" spans="1:5" ht="64.2" x14ac:dyDescent="2.5">
      <c r="A9" t="s">
        <v>50</v>
      </c>
      <c r="B9" t="s">
        <v>40</v>
      </c>
      <c r="C9" s="1" t="s">
        <v>40</v>
      </c>
      <c r="D9" s="5"/>
      <c r="E9" s="5">
        <v>0</v>
      </c>
    </row>
    <row r="10" spans="1:5" ht="64.2" x14ac:dyDescent="2.5">
      <c r="A10" t="s">
        <v>50</v>
      </c>
      <c r="B10" t="s">
        <v>42</v>
      </c>
      <c r="C10" s="1" t="s">
        <v>42</v>
      </c>
      <c r="D10" s="5"/>
      <c r="E10" s="5">
        <v>0</v>
      </c>
    </row>
    <row r="11" spans="1:5" ht="64.2" x14ac:dyDescent="2.5">
      <c r="A11" t="s">
        <v>23</v>
      </c>
      <c r="B11" t="s">
        <v>24</v>
      </c>
      <c r="C11" s="1" t="s">
        <v>67</v>
      </c>
      <c r="D11" s="5">
        <v>1</v>
      </c>
      <c r="E11" s="5">
        <v>1</v>
      </c>
    </row>
    <row r="12" spans="1:5" ht="64.2" x14ac:dyDescent="2.5">
      <c r="A12" t="s">
        <v>37</v>
      </c>
      <c r="B12" t="s">
        <v>38</v>
      </c>
      <c r="C12" s="1" t="s">
        <v>68</v>
      </c>
      <c r="D12" s="5">
        <v>1</v>
      </c>
      <c r="E12" s="5">
        <v>1</v>
      </c>
    </row>
    <row r="13" spans="1:5" ht="64.2" x14ac:dyDescent="2.5">
      <c r="A13" t="s">
        <v>41</v>
      </c>
      <c r="B13" t="s">
        <v>24</v>
      </c>
      <c r="C13" s="1" t="s">
        <v>69</v>
      </c>
      <c r="D13" s="5">
        <v>2</v>
      </c>
      <c r="E13" s="5">
        <v>2</v>
      </c>
    </row>
    <row r="14" spans="1:5" ht="64.2" x14ac:dyDescent="2.5"/>
    <row r="15" spans="1:5" ht="64.2" x14ac:dyDescent="2.5"/>
    <row r="16" spans="1:5" ht="64.2" x14ac:dyDescent="2.5"/>
    <row r="17" ht="64.2" x14ac:dyDescent="2.5"/>
    <row r="18" ht="64.2" x14ac:dyDescent="2.5"/>
    <row r="19" ht="64.2" x14ac:dyDescent="2.5"/>
    <row r="20" ht="64.2" x14ac:dyDescent="2.5"/>
    <row r="21" ht="64.2" x14ac:dyDescent="2.5"/>
    <row r="22" ht="64.2" x14ac:dyDescent="2.5"/>
    <row r="23" ht="64.2" x14ac:dyDescent="2.5"/>
    <row r="24" ht="64.2" x14ac:dyDescent="2.5"/>
    <row r="25" ht="64.2" x14ac:dyDescent="2.5"/>
    <row r="26" ht="64.2" x14ac:dyDescent="2.5"/>
    <row r="27" ht="64.2" x14ac:dyDescent="2.5"/>
    <row r="28" ht="64.2" x14ac:dyDescent="2.5"/>
    <row r="29" ht="64.2" x14ac:dyDescent="2.5"/>
    <row r="30" ht="64.2" x14ac:dyDescent="2.5"/>
    <row r="31" ht="64.2" x14ac:dyDescent="2.5"/>
    <row r="32" ht="64.2" x14ac:dyDescent="2.5"/>
    <row r="33" ht="64.2" x14ac:dyDescent="2.5"/>
    <row r="34" ht="64.2" x14ac:dyDescent="2.5"/>
    <row r="35" ht="64.2" x14ac:dyDescent="2.5"/>
    <row r="36" ht="64.2" x14ac:dyDescent="2.5"/>
    <row r="37" ht="64.2" x14ac:dyDescent="2.5"/>
    <row r="38" ht="64.2" x14ac:dyDescent="2.5"/>
    <row r="39" ht="64.2" x14ac:dyDescent="2.5"/>
    <row r="40" ht="64.2" x14ac:dyDescent="2.5"/>
    <row r="41" ht="64.2" x14ac:dyDescent="2.5"/>
    <row r="42" ht="64.2" x14ac:dyDescent="2.5"/>
    <row r="43" ht="64.2" x14ac:dyDescent="2.5"/>
    <row r="44" ht="64.2" x14ac:dyDescent="2.5"/>
    <row r="45" ht="64.2" x14ac:dyDescent="2.5"/>
    <row r="46" ht="64.2" x14ac:dyDescent="2.5"/>
    <row r="47" ht="64.2" x14ac:dyDescent="2.5"/>
    <row r="48" ht="64.2" x14ac:dyDescent="2.5"/>
    <row r="49" ht="64.2" x14ac:dyDescent="2.5"/>
    <row r="50" ht="64.2" x14ac:dyDescent="2.5"/>
    <row r="51" ht="64.2" x14ac:dyDescent="2.5"/>
  </sheetData>
  <pageMargins left="0.7" right="0.7" top="0.75" bottom="0.75" header="0.3" footer="0.3"/>
  <drawing r:id="rId2"/>
  <legacyDrawing r:id="rId3"/>
  <controls>
    <mc:AlternateContent xmlns:mc="http://schemas.openxmlformats.org/markup-compatibility/2006">
      <mc:Choice Requires="x14">
        <control shapeId="2049" r:id="rId4" name="cmdMakePivot">
          <controlPr defaultSize="0" print="0" autoFill="0" autoLine="0" r:id="rId5">
            <anchor>
              <from>
                <xdr:col>10</xdr:col>
                <xdr:colOff>22860</xdr:colOff>
                <xdr:row>1</xdr:row>
                <xdr:rowOff>45720</xdr:rowOff>
              </from>
              <to>
                <xdr:col>11</xdr:col>
                <xdr:colOff>502920</xdr:colOff>
                <xdr:row>2</xdr:row>
                <xdr:rowOff>220980</xdr:rowOff>
              </to>
            </anchor>
          </controlPr>
        </control>
      </mc:Choice>
      <mc:Fallback>
        <control shapeId="2049" r:id="rId4" name="cmdMakePivot"/>
      </mc:Fallback>
    </mc:AlternateContent>
  </controls>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D9CD4-FF0A-48DE-8A26-02A0CE441F4C}">
  <sheetPr codeName="Sheet2"/>
  <dimension ref="A1:B7"/>
  <sheetViews>
    <sheetView workbookViewId="0">
      <selection activeCell="B7" sqref="B7"/>
    </sheetView>
  </sheetViews>
  <sheetFormatPr defaultRowHeight="14.4" x14ac:dyDescent="0.3"/>
  <cols>
    <col min="1" max="1" width="14" bestFit="1" customWidth="1"/>
    <col min="2" max="2" width="22.77734375" customWidth="1"/>
  </cols>
  <sheetData>
    <row r="1" spans="1:2" x14ac:dyDescent="0.3">
      <c r="A1" t="s">
        <v>48</v>
      </c>
      <c r="B1" s="4" t="s">
        <v>49</v>
      </c>
    </row>
    <row r="2" spans="1:2" x14ac:dyDescent="0.3">
      <c r="A2" t="s">
        <v>46</v>
      </c>
      <c r="B2" s="4"/>
    </row>
    <row r="3" spans="1:2" x14ac:dyDescent="0.3">
      <c r="A3" t="s">
        <v>47</v>
      </c>
      <c r="B3" s="3"/>
    </row>
    <row r="4" spans="1:2" x14ac:dyDescent="0.3">
      <c r="A4" t="s">
        <v>43</v>
      </c>
      <c r="B4" s="3"/>
    </row>
    <row r="5" spans="1:2" x14ac:dyDescent="0.3">
      <c r="A5" t="s">
        <v>52</v>
      </c>
      <c r="B5" s="3"/>
    </row>
    <row r="6" spans="1:2" x14ac:dyDescent="0.3">
      <c r="A6" t="s">
        <v>45</v>
      </c>
    </row>
    <row r="7" spans="1:2" ht="69" customHeight="1" x14ac:dyDescent="2.5">
      <c r="A7" t="s">
        <v>44</v>
      </c>
      <c r="B7" s="1" t="str">
        <f>CONCATENATE(B5,"")</f>
        <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DE9CA-AB96-4C90-B343-226BDF56F64A}">
  <sheetPr codeName="Sheet5"/>
  <dimension ref="A1:E5"/>
  <sheetViews>
    <sheetView workbookViewId="0">
      <selection sqref="A1:E1"/>
    </sheetView>
  </sheetViews>
  <sheetFormatPr defaultRowHeight="14.4" x14ac:dyDescent="0.3"/>
  <cols>
    <col min="1" max="1" width="20.5546875" bestFit="1" customWidth="1"/>
    <col min="2" max="2" width="15.77734375" customWidth="1"/>
    <col min="4" max="4" width="9.88671875" customWidth="1"/>
    <col min="5" max="5" width="9.6640625" customWidth="1"/>
  </cols>
  <sheetData>
    <row r="1" spans="1:5" x14ac:dyDescent="0.3">
      <c r="A1" t="s">
        <v>46</v>
      </c>
      <c r="B1" t="s">
        <v>47</v>
      </c>
      <c r="C1" t="s">
        <v>43</v>
      </c>
      <c r="D1" t="s">
        <v>45</v>
      </c>
      <c r="E1" t="s">
        <v>44</v>
      </c>
    </row>
    <row r="2" spans="1:5" x14ac:dyDescent="0.3">
      <c r="A2">
        <f ca="1">TODAY()</f>
        <v>45200</v>
      </c>
      <c r="E2" t="str">
        <f>CONCATENATE(C2,"")</f>
        <v/>
      </c>
    </row>
    <row r="3" spans="1:5" ht="64.2" x14ac:dyDescent="2.5">
      <c r="A3" s="4">
        <v>43882</v>
      </c>
      <c r="B3" s="3">
        <v>645</v>
      </c>
      <c r="C3" s="3" t="s">
        <v>51</v>
      </c>
      <c r="D3">
        <v>10</v>
      </c>
      <c r="E3" s="1" t="str">
        <f>CONCATENATE(C3,"")</f>
        <v>600 G4</v>
      </c>
    </row>
    <row r="4" spans="1:5" ht="64.2" x14ac:dyDescent="2.5">
      <c r="A4" s="4">
        <v>43882</v>
      </c>
      <c r="B4" s="3">
        <v>645</v>
      </c>
      <c r="C4" s="3" t="s">
        <v>51</v>
      </c>
      <c r="D4">
        <v>10</v>
      </c>
      <c r="E4" s="1" t="str">
        <f>CONCATENATE(C4,"")</f>
        <v>600 G4</v>
      </c>
    </row>
    <row r="5" spans="1:5" ht="64.2" x14ac:dyDescent="2.5">
      <c r="A5" s="4">
        <f t="shared" ref="A5" ca="1" si="0">TODAY()</f>
        <v>45200</v>
      </c>
      <c r="B5" s="3">
        <v>342908</v>
      </c>
      <c r="C5" s="3">
        <v>5070</v>
      </c>
      <c r="D5">
        <v>24</v>
      </c>
      <c r="E5" s="1" t="str">
        <f t="shared" ref="E5" si="1">CONCATENATE(C5,"")</f>
        <v>5070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9C886-D433-4A24-B7EE-F547C85C4DA9}">
  <sheetPr codeName="Sheet4"/>
  <dimension ref="A1:F2"/>
  <sheetViews>
    <sheetView workbookViewId="0">
      <selection activeCell="A2" sqref="A2"/>
    </sheetView>
  </sheetViews>
  <sheetFormatPr defaultRowHeight="14.4" x14ac:dyDescent="0.3"/>
  <cols>
    <col min="1" max="1" width="15.77734375" bestFit="1" customWidth="1"/>
    <col min="2" max="2" width="41.88671875" bestFit="1" customWidth="1"/>
    <col min="3" max="5" width="23.5546875" customWidth="1"/>
    <col min="6" max="6" width="14.33203125" customWidth="1"/>
  </cols>
  <sheetData>
    <row r="1" spans="1:6" x14ac:dyDescent="0.3">
      <c r="A1" t="s">
        <v>43</v>
      </c>
      <c r="B1" t="s">
        <v>52</v>
      </c>
      <c r="C1" t="s">
        <v>44</v>
      </c>
      <c r="D1" t="s">
        <v>54</v>
      </c>
      <c r="E1" t="s">
        <v>55</v>
      </c>
      <c r="F1" t="s">
        <v>45</v>
      </c>
    </row>
    <row r="2" spans="1:6" ht="64.2" x14ac:dyDescent="2.5">
      <c r="C2" s="1"/>
      <c r="D2" s="1"/>
      <c r="E2" s="1"/>
    </row>
  </sheetData>
  <phoneticPr fontId="6" type="noConversion"/>
  <pageMargins left="0.7" right="0.7" top="0.75" bottom="0.75" header="0.3" footer="0.3"/>
  <drawing r:id="rId1"/>
  <legacyDrawing r:id="rId2"/>
  <controls>
    <mc:AlternateContent xmlns:mc="http://schemas.openxmlformats.org/markup-compatibility/2006">
      <mc:Choice Requires="x14">
        <control shapeId="6145" r:id="rId3" name="StockUpdateBt">
          <controlPr defaultSize="0" print="0" autoLine="0" r:id="rId4">
            <anchor>
              <from>
                <xdr:col>14</xdr:col>
                <xdr:colOff>114300</xdr:colOff>
                <xdr:row>1</xdr:row>
                <xdr:rowOff>312420</xdr:rowOff>
              </from>
              <to>
                <xdr:col>16</xdr:col>
                <xdr:colOff>586740</xdr:colOff>
                <xdr:row>1</xdr:row>
                <xdr:rowOff>708660</xdr:rowOff>
              </to>
            </anchor>
          </controlPr>
        </control>
      </mc:Choice>
      <mc:Fallback>
        <control shapeId="6145" r:id="rId3" name="StockUpdateBt"/>
      </mc:Fallback>
    </mc:AlternateContent>
  </controls>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Import 1</vt:lpstr>
      <vt:lpstr>Import Data</vt:lpstr>
      <vt:lpstr>Stock Summary</vt:lpstr>
      <vt:lpstr>Sale1</vt:lpstr>
      <vt:lpstr>Sale</vt:lpstr>
      <vt:lpstr>Stock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Noorullah Khan</dc:creator>
  <cp:lastModifiedBy>Noorullah Khan</cp:lastModifiedBy>
  <dcterms:created xsi:type="dcterms:W3CDTF">2023-09-04T05:21:55Z</dcterms:created>
  <dcterms:modified xsi:type="dcterms:W3CDTF">2023-10-01T12:11:20Z</dcterms:modified>
</cp:coreProperties>
</file>